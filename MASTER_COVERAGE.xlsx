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ASTER" sheetId="2" state="visible" r:id="rId4"/>
    <sheet name="LEGEND" sheetId="3" state="visible" r:id="rId5"/>
  </sheets>
  <definedNames>
    <definedName function="false" hidden="true" localSheetId="1" name="_xlnm._FilterDatabase" vbProcedure="false">MASTER!$A$1:$Q$938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<sst xmlns="http://schemas.openxmlformats.org/spreadsheetml/2006/main" count="14014" uniqueCount="4128">
  <si>
    <t xml:space="preserve">Master coverage summary</t>
  </si>
  <si>
    <t xml:space="preserve">Counts update from the MASTER sheet. Generated 2026-10-31. "Concept covered?" is measured by comparing each item's distinctive terms with the book text (see LEGEND).</t>
  </si>
  <si>
    <t xml:space="preserve">Source</t>
  </si>
  <si>
    <t xml:space="preserve">Items</t>
  </si>
  <si>
    <t xml:space="preserve">Covered</t>
  </si>
  <si>
    <t xml:space="preserve">Partly covered</t>
  </si>
  <si>
    <t xml:space="preserve">Not covered</t>
  </si>
  <si>
    <t xml:space="preserve">Not measured</t>
  </si>
  <si>
    <t xml:space="preserve">Excluded by you</t>
  </si>
  <si>
    <t xml:space="preserve">No teaching content</t>
  </si>
  <si>
    <t xml:space="preserve">Not applicable</t>
  </si>
  <si>
    <t xml:space="preserve">Measurable items</t>
  </si>
  <si>
    <t xml:space="preserve">% Covered (of measurable)</t>
  </si>
  <si>
    <t xml:space="preserve">% Covered or partly</t>
  </si>
  <si>
    <t xml:space="preserve">Course repo file</t>
  </si>
  <si>
    <t xml:space="preserve">LangChain docs</t>
  </si>
  <si>
    <t xml:space="preserve">MCP docs</t>
  </si>
  <si>
    <t xml:space="preserve">Pydantic docs</t>
  </si>
  <si>
    <t xml:space="preserve">Meridian slides</t>
  </si>
  <si>
    <t xml:space="preserve">Craft page</t>
  </si>
  <si>
    <t xml:space="preserve">Craft attachment</t>
  </si>
  <si>
    <t xml:space="preserve">Instructor site</t>
  </si>
  <si>
    <t xml:space="preserve">Other repo</t>
  </si>
  <si>
    <t xml:space="preserve">TOTAL</t>
  </si>
  <si>
    <t xml:space="preserve">Work still to do (Action status)</t>
  </si>
  <si>
    <t xml:space="preserve">To do</t>
  </si>
  <si>
    <t xml:space="preserve">Needs your decision</t>
  </si>
  <si>
    <t xml:space="preserve">Done</t>
  </si>
  <si>
    <t xml:space="preserve">Not needed</t>
  </si>
  <si>
    <t xml:space="preserve">ID</t>
  </si>
  <si>
    <t xml:space="preserve">Group</t>
  </si>
  <si>
    <t xml:space="preserve">Item</t>
  </si>
  <si>
    <t xml:space="preserve">Path or URL</t>
  </si>
  <si>
    <t xml:space="preserve">What it teaches</t>
  </si>
  <si>
    <t xml:space="preserve">Read status</t>
  </si>
  <si>
    <t xml:space="preserve">Concept covered?</t>
  </si>
  <si>
    <t xml:space="preserve">Overlap score</t>
  </si>
  <si>
    <t xml:space="preserve">Method</t>
  </si>
  <si>
    <t xml:space="preserve">Where covered (book:chapter and matches)</t>
  </si>
  <si>
    <t xml:space="preserve">Missing concepts (evidence)</t>
  </si>
  <si>
    <t xml:space="preserve">Priority</t>
  </si>
  <si>
    <t xml:space="preserve">Action needed</t>
  </si>
  <si>
    <t xml:space="preserve">Action status</t>
  </si>
  <si>
    <t xml:space="preserve">Last checked</t>
  </si>
  <si>
    <t xml:space="preserve">Notes</t>
  </si>
  <si>
    <t xml:space="preserve">R-001</t>
  </si>
  <si>
    <t xml:space="preserve">(repo root)</t>
  </si>
  <si>
    <t xml:space="preserve">.gitattributes</t>
  </si>
  <si>
    <t xml:space="preserve">Ignored</t>
  </si>
  <si>
    <t xml:space="preserve">Measured: shared terms with the books</t>
  </si>
  <si>
    <t xml:space="preserve">Medium</t>
  </si>
  <si>
    <t xml:space="preserve">None</t>
  </si>
  <si>
    <t xml:space="preserve">2026-10-31</t>
  </si>
  <si>
    <t xml:space="preserve">lock file, log, config or archive</t>
  </si>
  <si>
    <t xml:space="preserve">R-002</t>
  </si>
  <si>
    <t xml:space="preserve">.github</t>
  </si>
  <si>
    <t xml:space="preserve">path-audit.yml</t>
  </si>
  <si>
    <t xml:space="preserve">.github/workflows/path-audit.yml</t>
  </si>
  <si>
    <t xml:space="preserve">Fails a push / PR that would break `git clone` or `git pull` for students on Windows, macOS or Linux</t>
  </si>
  <si>
    <t xml:space="preserve">Read properly</t>
  </si>
  <si>
    <t xml:space="preserve">too little text to measure</t>
  </si>
  <si>
    <t xml:space="preserve">R-003</t>
  </si>
  <si>
    <t xml:space="preserve">.gitignore</t>
  </si>
  <si>
    <t xml:space="preserve">R-004</t>
  </si>
  <si>
    <t xml:space="preserve">COLAB_NOTEBOOKS.md</t>
  </si>
  <si>
    <t xml:space="preserve">📓 Live Colab Notebooks — Full Index</t>
  </si>
  <si>
    <t xml:space="preserve">agentic-ai:ch5 (4), agentic-ai:ch10 (3), agentic-ai:ch12 (3)</t>
  </si>
  <si>
    <t xml:space="preserve">R-005</t>
  </si>
  <si>
    <t xml:space="preserve">Complete MCP</t>
  </si>
  <si>
    <t xml:space="preserve">Commands.txt</t>
  </si>
  <si>
    <t xml:space="preserve">Complete MCP/Commands.txt</t>
  </si>
  <si>
    <t xml:space="preserve">install uv if you don't have it</t>
  </si>
  <si>
    <t xml:space="preserve">Looked through</t>
  </si>
  <si>
    <t xml:space="preserve">R-006</t>
  </si>
  <si>
    <t xml:space="preserve">README.md</t>
  </si>
  <si>
    <t xml:space="preserve">Complete MCP/MCP-Precoded/README.md</t>
  </si>
  <si>
    <t xml:space="preserve">Building Your First MCP Server — RecipeBox, Two Ways</t>
  </si>
  <si>
    <t xml:space="preserve">agentic-ai:ch14 (6), agentic-ai:ch11 (6), agentic-ai:ch16 (4)</t>
  </si>
  <si>
    <t xml:space="preserve">part4_building_first_server_notebook, stdio_server</t>
  </si>
  <si>
    <t xml:space="preserve">R-007</t>
  </si>
  <si>
    <t xml:space="preserve">recipebox_fastmcp.py</t>
  </si>
  <si>
    <t xml:space="preserve">Complete MCP/MCP-Precoded/recipebox_fastmcp.py</t>
  </si>
  <si>
    <t xml:space="preserve">RecipeBox -- the EXACT same server as recipebox_lowlevel.py, rebuilt with</t>
  </si>
  <si>
    <t xml:space="preserve">agentic-ai:ch14 (10), agentic-ai:ch11 (4), agentic-ai:ch16 (3)</t>
  </si>
  <si>
    <t xml:space="preserve">R-008</t>
  </si>
  <si>
    <t xml:space="preserve">recipebox_lowlevel.py</t>
  </si>
  <si>
    <t xml:space="preserve">Complete MCP/MCP-Precoded/recipebox_lowlevel.py</t>
  </si>
  <si>
    <t xml:space="preserve">RecipeBox -- built with the RAW, low-level official `mcp` SDK.</t>
  </si>
  <si>
    <t xml:space="preserve">agentic-ai:ch14 (11), agentic-ai:ch16 (6), agentic-ai:ch11 (6)</t>
  </si>
  <si>
    <t xml:space="preserve">create_initialization_options, stdio_server</t>
  </si>
  <si>
    <t xml:space="preserve">R-009</t>
  </si>
  <si>
    <t xml:space="preserve">Complete MCP/McpWarmup/.gitignore</t>
  </si>
  <si>
    <t xml:space="preserve">R-010</t>
  </si>
  <si>
    <t xml:space="preserve">.python-version</t>
  </si>
  <si>
    <t xml:space="preserve">Complete MCP/McpWarmup/.python-version</t>
  </si>
  <si>
    <t xml:space="preserve">R-011</t>
  </si>
  <si>
    <t xml:space="preserve">Complete MCP/McpWarmup/README.md</t>
  </si>
  <si>
    <t xml:space="preserve">R-012</t>
  </si>
  <si>
    <t xml:space="preserve">mcp_server_with_primitives.py</t>
  </si>
  <si>
    <t xml:space="preserve">Complete MCP/McpWarmup/mcp_server_with_primitives.py</t>
  </si>
  <si>
    <t xml:space="preserve">agentic-ai:ch12 (6)</t>
  </si>
  <si>
    <t xml:space="preserve">R-013</t>
  </si>
  <si>
    <t xml:space="preserve">pyproject.toml</t>
  </si>
  <si>
    <t xml:space="preserve">Complete MCP/McpWarmup/pyproject.toml</t>
  </si>
  <si>
    <t xml:space="preserve">R-014</t>
  </si>
  <si>
    <t xml:space="preserve">server.py</t>
  </si>
  <si>
    <t xml:space="preserve">Complete MCP/McpWarmup/server.py</t>
  </si>
  <si>
    <t xml:space="preserve">agentic-ai:ch11 (2), agentic-ai:ch16 (2)</t>
  </si>
  <si>
    <t xml:space="preserve">R-015</t>
  </si>
  <si>
    <t xml:space="preserve">server_with_auth.py</t>
  </si>
  <si>
    <t xml:space="preserve">Complete MCP/McpWarmup/server_with_auth.py</t>
  </si>
  <si>
    <t xml:space="preserve">agentic-ai:ch16 (24), agentic-ai:ch18 (9), agentic-ai:ch11 (8)</t>
  </si>
  <si>
    <t xml:space="preserve">R-016</t>
  </si>
  <si>
    <t xml:space="preserve">__init__.py</t>
  </si>
  <si>
    <t xml:space="preserve">Complete MCP/McpWarmup/src/mcp_warmup/__init__.py</t>
  </si>
  <si>
    <t xml:space="preserve">R-017</t>
  </si>
  <si>
    <t xml:space="preserve">uv.lock</t>
  </si>
  <si>
    <t xml:space="preserve">Complete MCP/McpWarmup/uv.lock</t>
  </si>
  <si>
    <t xml:space="preserve">R-018</t>
  </si>
  <si>
    <t xml:space="preserve">mcp-client-and-advanced.zip</t>
  </si>
  <si>
    <t xml:space="preserve">Complete MCP/TimeTrackProject/mcp-client-and-advanced.zip</t>
  </si>
  <si>
    <t xml:space="preserve">agentic-ai:ch15, agentic-ai:ch16</t>
  </si>
  <si>
    <t xml:space="preserve">R-019</t>
  </si>
  <si>
    <t xml:space="preserve">MCP_PROTOCOL_CHANGES_SUMMARY.txt</t>
  </si>
  <si>
    <t xml:space="preserve">Complete MCP/TimeTrackProject/mcp-client-and-advanced/MCP_PROTOCOL_CHANGES_SUMMARY.txt</t>
  </si>
  <si>
    <t xml:space="preserve">agentic-ai:ch16 (6), agentic-ai:ch17 (6), agentic-ai:ch14 (2)</t>
  </si>
  <si>
    <t xml:space="preserve">R-020</t>
  </si>
  <si>
    <t xml:space="preserve">Complete MCP/TimeTrackProject/mcp-client-and-advanced/README.md</t>
  </si>
  <si>
    <t xml:space="preserve">Building Your Own MCP Client — Complete, Numbered, Self-Contained</t>
  </si>
  <si>
    <t xml:space="preserve">agentic-ai:ch16 (20), agentic-ai:ch17 (11), agentic-ai:ch13 (6)</t>
  </si>
  <si>
    <t xml:space="preserve">client_project</t>
  </si>
  <si>
    <t xml:space="preserve">R-021</t>
  </si>
  <si>
    <t xml:space="preserve">01_raw_client.py</t>
  </si>
  <si>
    <t xml:space="preserve">Complete MCP/TimeTrackProject/mcp-client-and-advanced/client/01_raw_client.py</t>
  </si>
  <si>
    <t xml:space="preserve">01 -- THE RAW CLIENT</t>
  </si>
  <si>
    <t xml:space="preserve">agentic-ai:ch16 (20), agentic-ai:ch15 (8), agentic-ai:ch11 (8)</t>
  </si>
  <si>
    <t xml:space="preserve">R-022</t>
  </si>
  <si>
    <t xml:space="preserve">02_fastmcp_client_explained.py</t>
  </si>
  <si>
    <t xml:space="preserve">Complete MCP/TimeTrackProject/mcp-client-and-advanced/client/02_fastmcp_client_explained.py</t>
  </si>
  <si>
    <t xml:space="preserve">02 -- THE EASY CLIENT, EXPLAINED STEP BY STEP</t>
  </si>
  <si>
    <t xml:space="preserve">agentic-ai:ch16 (19), agentic-ai:ch14 (13), agentic-ai:ch17 (12)</t>
  </si>
  <si>
    <t xml:space="preserve">R-023</t>
  </si>
  <si>
    <t xml:space="preserve">03_fastmcp_client_http.py</t>
  </si>
  <si>
    <t xml:space="preserve">Complete MCP/TimeTrackProject/mcp-client-and-advanced/client/03_fastmcp_client_http.py</t>
  </si>
  <si>
    <t xml:space="preserve">03 -- CONNECTING TO A REAL, DEPLOYED SERVER OVER HTTP</t>
  </si>
  <si>
    <t xml:space="preserve">agentic-ai:ch16 (16), agentic-ai:ch11 (10), agentic-ai:ch17 (9)</t>
  </si>
  <si>
    <t xml:space="preserve">R-024</t>
  </si>
  <si>
    <t xml:space="preserve">04_agent_loop.py</t>
  </si>
  <si>
    <t xml:space="preserve">Complete MCP/TimeTrackProject/mcp-client-and-advanced/client/04_agent_loop.py</t>
  </si>
  <si>
    <t xml:space="preserve">04 -- A REAL AGENT LOOP, NO FRAMEWORK</t>
  </si>
  <si>
    <t xml:space="preserve">agentic-ai:ch16 (26), agentic-ai:ch17 (10), agentic-ai:ch11 (7)</t>
  </si>
  <si>
    <t xml:space="preserve">R-025</t>
  </si>
  <si>
    <t xml:space="preserve">05_sampling_demo.py</t>
  </si>
  <si>
    <t xml:space="preserve">Complete MCP/TimeTrackProject/mcp-client-and-advanced/client/05_sampling_demo.py</t>
  </si>
  <si>
    <t xml:space="preserve">05 -- SUMMARIZE_WEEK: THE SERVER CALLS AN LLM DIRECTLY</t>
  </si>
  <si>
    <t xml:space="preserve">agentic-ai:ch16 (18), agentic-ai:ch17 (15), agentic-ai:ch11 (11)</t>
  </si>
  <si>
    <t xml:space="preserve">R-026</t>
  </si>
  <si>
    <t xml:space="preserve">06_elicitation_demo.py</t>
  </si>
  <si>
    <t xml:space="preserve">Complete MCP/TimeTrackProject/mcp-client-and-advanced/client/06_elicitation_demo.py</t>
  </si>
  <si>
    <t xml:space="preserve">06 -- ELICITATION: THE SERVER ASKS A REAL QUESTION</t>
  </si>
  <si>
    <t xml:space="preserve">agentic-ai:ch17 (17), agentic-ai:ch16 (14), agentic-ai:ch13 (8)</t>
  </si>
  <si>
    <t xml:space="preserve">R-027</t>
  </si>
  <si>
    <t xml:space="preserve">07_ping_and_errors.py</t>
  </si>
  <si>
    <t xml:space="preserve">Complete MCP/TimeTrackProject/mcp-client-and-advanced/client/07_ping_and_errors.py</t>
  </si>
  <si>
    <t xml:space="preserve">07 -- PING AND A REAL ERROR</t>
  </si>
  <si>
    <t xml:space="preserve">agentic-ai:ch17 (11), agentic-ai:ch16 (8), agentic-ai:ch12 (7)</t>
  </si>
  <si>
    <t xml:space="preserve">R-028</t>
  </si>
  <si>
    <t xml:space="preserve">08_timeout_and_cancellation.py</t>
  </si>
  <si>
    <t xml:space="preserve">Complete MCP/TimeTrackProject/mcp-client-and-advanced/client/08_timeout_and_cancellation.py</t>
  </si>
  <si>
    <t xml:space="preserve">08 -- TIMEOUT, WHICH TRIGGERS A REAL CANCELLATION</t>
  </si>
  <si>
    <t xml:space="preserve">agentic-ai:ch17 (7), agentic-ai:ch16 (7), agentic-ai:ch12 (5)</t>
  </si>
  <si>
    <t xml:space="preserve">R-029</t>
  </si>
  <si>
    <t xml:space="preserve">09_progress_notifications.py</t>
  </si>
  <si>
    <t xml:space="preserve">Complete MCP/TimeTrackProject/mcp-client-and-advanced/client/09_progress_notifications.py</t>
  </si>
  <si>
    <t xml:space="preserve">09 -- PROGRESS NOTIFICATIONS, WATCHED LIVE</t>
  </si>
  <si>
    <t xml:space="preserve">agentic-ai:ch17 (9), agentic-ai:ch16 (6), agentic-ai:ch18 (5)</t>
  </si>
  <si>
    <t xml:space="preserve">R-030</t>
  </si>
  <si>
    <t xml:space="preserve">database.py</t>
  </si>
  <si>
    <t xml:space="preserve">Complete MCP/TimeTrackProject/mcp-client-and-advanced/database.py</t>
  </si>
  <si>
    <t xml:space="preserve">TimeTrack's persistence layer -- SQLite, shared by every tool in this</t>
  </si>
  <si>
    <t xml:space="preserve">agentic-ai:ch16 (35), agentic-ai:ch15 (17), agentic-ai:ch17 (12)</t>
  </si>
  <si>
    <t xml:space="preserve">R-031</t>
  </si>
  <si>
    <t xml:space="preserve">main.py</t>
  </si>
  <si>
    <t xml:space="preserve">Complete MCP/TimeTrackProject/mcp-client-and-advanced/main.py</t>
  </si>
  <si>
    <t xml:space="preserve">main.py -- the COMPLETE TimeTrack server used by every file in client/.</t>
  </si>
  <si>
    <t xml:space="preserve">agentic-ai:ch16 (33), agentic-ai:ch17 (22), agentic-ai:ch15 (16)</t>
  </si>
  <si>
    <t xml:space="preserve">R-032</t>
  </si>
  <si>
    <t xml:space="preserve">Complete MCP/TimeTrackProject/mcp-client-and-advanced/pyproject.toml</t>
  </si>
  <si>
    <t xml:space="preserve">R-033</t>
  </si>
  <si>
    <t xml:space="preserve">timetrack.db</t>
  </si>
  <si>
    <t xml:space="preserve">Complete MCP/TimeTrackProject/mcp-client-and-advanced/timetrack.db</t>
  </si>
  <si>
    <t xml:space="preserve">R-034</t>
  </si>
  <si>
    <t xml:space="preserve">Complete MCP/TimeTrackProject/mcp-client-and-advanced/uv.lock</t>
  </si>
  <si>
    <t xml:space="preserve">R-035</t>
  </si>
  <si>
    <t xml:space="preserve">Complete MCP/TimeTrackProject/timetrack mcp server/.python-version</t>
  </si>
  <si>
    <t xml:space="preserve">R-036</t>
  </si>
  <si>
    <t xml:space="preserve">Complete MCP/TimeTrackProject/timetrack mcp server/README.md</t>
  </si>
  <si>
    <t xml:space="preserve">TimeTrack</t>
  </si>
  <si>
    <t xml:space="preserve">agentic-ai:ch15 (14), agentic-ai:ch16 (13), agentic-ai:ch17 (5)</t>
  </si>
  <si>
    <t xml:space="preserve">heading: checklist complete setup</t>
  </si>
  <si>
    <t xml:space="preserve">R-037</t>
  </si>
  <si>
    <t xml:space="preserve">Complete MCP/TimeTrackProject/timetrack mcp server/database.py</t>
  </si>
  <si>
    <t xml:space="preserve">TimeTrack's persistence layer -- SQLite, shared by the website and the MCP</t>
  </si>
  <si>
    <t xml:space="preserve">agentic-ai:ch16 (36), agentic-ai:ch15 (17), agentic-ai:ch17 (12)</t>
  </si>
  <si>
    <t xml:space="preserve">execute_query</t>
  </si>
  <si>
    <t xml:space="preserve">R-038</t>
  </si>
  <si>
    <t xml:space="preserve">dummy.py</t>
  </si>
  <si>
    <t xml:space="preserve">Complete MCP/TimeTrackProject/timetrack mcp server/dummy.py</t>
  </si>
  <si>
    <t xml:space="preserve">Dummy Calculator MCP server -- a minimal example for deploying to Horizon.</t>
  </si>
  <si>
    <t xml:space="preserve">agentic-ai:ch17 (2), agentic-ai:ch18 (2), agentic-ai:ch16 (2)</t>
  </si>
  <si>
    <t xml:space="preserve">too little text to measure; a chapter links to it</t>
  </si>
  <si>
    <t xml:space="preserve">R-039</t>
  </si>
  <si>
    <t xml:space="preserve">Complete MCP/TimeTrackProject/timetrack mcp server/main.py</t>
  </si>
  <si>
    <t xml:space="preserve">TimeTrack -- one running application, two front doors onto the same</t>
  </si>
  <si>
    <t xml:space="preserve">agentic-ai:ch15 (21), agentic-ai:ch16 (20), agentic-ai:ch17 (4)</t>
  </si>
  <si>
    <t xml:space="preserve">serve_index, api_list_entries, fileresponse, api_project_summary, api_list_projects, api_get_timesheet, api_log_entry</t>
  </si>
  <si>
    <t xml:space="preserve">R-040</t>
  </si>
  <si>
    <t xml:space="preserve">main_to_understand.py</t>
  </si>
  <si>
    <t xml:space="preserve">Complete MCP/TimeTrackProject/timetrack mcp server/main_to_understand.py</t>
  </si>
  <si>
    <t xml:space="preserve">agentic-ai:ch16 (24), agentic-ai:ch15 (22), agentic-ai:ch17 (7)</t>
  </si>
  <si>
    <t xml:space="preserve">main_to_understand, get_schema, execute_query_dynamically, api_list_all_entries, execute_query, api_project_summary, api_list_projects, api_get_timesheet, api_log_entry</t>
  </si>
  <si>
    <t xml:space="preserve">R-041</t>
  </si>
  <si>
    <t xml:space="preserve">Complete MCP/TimeTrackProject/timetrack mcp server/mcp-client-and-advanced/README.md</t>
  </si>
  <si>
    <t xml:space="preserve">agentic-ai:ch16 (15), agentic-ai:ch17 (9), agentic-ai:ch11 (4)</t>
  </si>
  <si>
    <t xml:space="preserve">_fastmcp_client, client_project</t>
  </si>
  <si>
    <t xml:space="preserve">R-042</t>
  </si>
  <si>
    <t xml:space="preserve">Complete MCP/TimeTrackProject/timetrack mcp server/mcp-client-and-advanced/client/01_raw_client.py</t>
  </si>
  <si>
    <t xml:space="preserve">R-043</t>
  </si>
  <si>
    <t xml:space="preserve">02_fastmcp_client.py</t>
  </si>
  <si>
    <t xml:space="preserve">Complete MCP/TimeTrackProject/timetrack mcp server/mcp-client-and-advanced/client/02_fastmcp_client.py</t>
  </si>
  <si>
    <t xml:space="preserve">02 -- THE EASY CLIENT</t>
  </si>
  <si>
    <t xml:space="preserve">agentic-ai:ch16 (7), agentic-ai:ch11 (5), agentic-ai:ch14 (5)</t>
  </si>
  <si>
    <t xml:space="preserve">R-044</t>
  </si>
  <si>
    <t xml:space="preserve">03_agent_loop.py</t>
  </si>
  <si>
    <t xml:space="preserve">Complete MCP/TimeTrackProject/timetrack mcp server/mcp-client-and-advanced/client/03_agent_loop.py</t>
  </si>
  <si>
    <t xml:space="preserve">03 -- A REAL AGENT LOOP, NO FRAMEWORK</t>
  </si>
  <si>
    <t xml:space="preserve">R-045</t>
  </si>
  <si>
    <t xml:space="preserve">04_sampling_demo.py</t>
  </si>
  <si>
    <t xml:space="preserve">Complete MCP/TimeTrackProject/timetrack mcp server/mcp-client-and-advanced/client/04_sampling_demo.py</t>
  </si>
  <si>
    <t xml:space="preserve">04 -- SAMPLING: THE SERVER BORROWS THE CLIENT'S LLM</t>
  </si>
  <si>
    <t xml:space="preserve">agentic-ai:ch16 (17), agentic-ai:ch17 (15), agentic-ai:ch11 (7)</t>
  </si>
  <si>
    <t xml:space="preserve">R-046</t>
  </si>
  <si>
    <t xml:space="preserve">05_elicitation_demo.py</t>
  </si>
  <si>
    <t xml:space="preserve">Complete MCP/TimeTrackProject/timetrack mcp server/mcp-client-and-advanced/client/05_elicitation_demo.py</t>
  </si>
  <si>
    <t xml:space="preserve">05 -- ELICITATION: THE SERVER ASKS A REAL QUESTION</t>
  </si>
  <si>
    <t xml:space="preserve">agentic-ai:ch17 (15), agentic-ai:ch16 (12), agentic-ai:ch13 (6)</t>
  </si>
  <si>
    <t xml:space="preserve">R-047</t>
  </si>
  <si>
    <t xml:space="preserve">06_ping_and_errors.py</t>
  </si>
  <si>
    <t xml:space="preserve">Complete MCP/TimeTrackProject/timetrack mcp server/mcp-client-and-advanced/client/06_ping_and_errors.py</t>
  </si>
  <si>
    <t xml:space="preserve">06 -- PING AND A REAL ERROR</t>
  </si>
  <si>
    <t xml:space="preserve">agentic-ai:ch17 (9), agentic-ai:ch16 (6), agentic-ai:ch12 (5)</t>
  </si>
  <si>
    <t xml:space="preserve">R-048</t>
  </si>
  <si>
    <t xml:space="preserve">07_timeout_and_cancellation.py</t>
  </si>
  <si>
    <t xml:space="preserve">Complete MCP/TimeTrackProject/timetrack mcp server/mcp-client-and-advanced/client/07_timeout_and_cancellation.py</t>
  </si>
  <si>
    <t xml:space="preserve">07 -- TIMEOUT, WHICH TRIGGERS A REAL CANCELLATION</t>
  </si>
  <si>
    <t xml:space="preserve">R-049</t>
  </si>
  <si>
    <t xml:space="preserve">08_progress_notifications.py</t>
  </si>
  <si>
    <t xml:space="preserve">Complete MCP/TimeTrackProject/timetrack mcp server/mcp-client-and-advanced/client/08_progress_notifications.py</t>
  </si>
  <si>
    <t xml:space="preserve">08 -- PROGRESS NOTIFICATIONS, WATCHED LIVE</t>
  </si>
  <si>
    <t xml:space="preserve">R-050</t>
  </si>
  <si>
    <t xml:space="preserve">Complete MCP/TimeTrackProject/timetrack mcp server/mcp-client-and-advanced/database.py</t>
  </si>
  <si>
    <t xml:space="preserve">R-051</t>
  </si>
  <si>
    <t xml:space="preserve">Complete MCP/TimeTrackProject/timetrack mcp server/mcp-client-and-advanced/main.py</t>
  </si>
  <si>
    <t xml:space="preserve">agentic-ai:ch16 (30), agentic-ai:ch17 (19), agentic-ai:ch15 (16)</t>
  </si>
  <si>
    <t xml:space="preserve">R-052</t>
  </si>
  <si>
    <t xml:space="preserve">Complete MCP/TimeTrackProject/timetrack mcp server/mcp-client-and-advanced/pyproject.toml</t>
  </si>
  <si>
    <t xml:space="preserve">R-053</t>
  </si>
  <si>
    <t xml:space="preserve">mcp_htttp_connection.txt</t>
  </si>
  <si>
    <t xml:space="preserve">Complete MCP/TimeTrackProject/timetrack mcp server/mcp_htttp_connection.txt</t>
  </si>
  <si>
    <t xml:space="preserve">R-054</t>
  </si>
  <si>
    <t xml:space="preserve">Complete MCP/TimeTrackProject/timetrack mcp server/pyproject.toml</t>
  </si>
  <si>
    <t xml:space="preserve">R-055</t>
  </si>
  <si>
    <t xml:space="preserve">concurrency_showcase.py</t>
  </si>
  <si>
    <t xml:space="preserve">Complete MCP/TimeTrackProject/timetrack mcp server/scripts/concurrency_showcase.py</t>
  </si>
  <si>
    <t xml:space="preserve">Concurrency + persistence showcase for a deployed TimeTrack MCP server.</t>
  </si>
  <si>
    <t xml:space="preserve">agentic-ai:ch16 (8), agentic-ai:ch17 (6), agentic-ai:ch15 (5)</t>
  </si>
  <si>
    <t xml:space="preserve">uuid4, timetrack_test_n, timetrack_mcp_url, timed_log_time, serializing, seq_total, employee_for, default_url, conc_total, conc_results, bar_start, bar_end</t>
  </si>
  <si>
    <t xml:space="preserve">Add the missing concepts to MCP chapters</t>
  </si>
  <si>
    <t xml:space="preserve">R-056</t>
  </si>
  <si>
    <t xml:space="preserve">app.js</t>
  </si>
  <si>
    <t xml:space="preserve">Complete MCP/TimeTrackProject/timetrack mcp server/static/app.js</t>
  </si>
  <si>
    <t xml:space="preserve">agentic-ai:ch16 (5), agentic-ai:ch15 (4), agentic-ai:ch17 (3)</t>
  </si>
  <si>
    <t xml:space="preserve">queryselectorall, queryselector, parsefloat, loadprojectoptions, loadentries, escapehtml, encodeuricomponent, createelement, getelementbyid, foreach, addeventlistener, preventdefault</t>
  </si>
  <si>
    <t xml:space="preserve">R-057</t>
  </si>
  <si>
    <t xml:space="preserve">index.html</t>
  </si>
  <si>
    <t xml:space="preserve">Complete MCP/TimeTrackProject/timetrack mcp server/static/index.html</t>
  </si>
  <si>
    <t xml:space="preserve">R-058</t>
  </si>
  <si>
    <t xml:space="preserve">style.css</t>
  </si>
  <si>
    <t xml:space="preserve">Complete MCP/TimeTrackProject/timetrack mcp server/static/style.css</t>
  </si>
  <si>
    <t xml:space="preserve">R-059</t>
  </si>
  <si>
    <t xml:space="preserve">steps_to_remote_mcp.txt</t>
  </si>
  <si>
    <t xml:space="preserve">Complete MCP/TimeTrackProject/timetrack mcp server/steps_to_remote_mcp.txt</t>
  </si>
  <si>
    <t xml:space="preserve">R-060</t>
  </si>
  <si>
    <t xml:space="preserve">Complete MCP/TimeTrackProject/timetrack mcp server/timetrack.db</t>
  </si>
  <si>
    <t xml:space="preserve">R-061</t>
  </si>
  <si>
    <t xml:space="preserve">Complete MCP/TimeTrackProject/timetrack mcp server/uv.lock</t>
  </si>
  <si>
    <t xml:space="preserve">R-062</t>
  </si>
  <si>
    <t xml:space="preserve">timetrack_notebook.ipynb</t>
  </si>
  <si>
    <t xml:space="preserve">Complete MCP/TimeTrackProject/timetrack_notebook.ipynb</t>
  </si>
  <si>
    <t xml:space="preserve">TimeTrack: A Real, Professional Application With MCP Built In</t>
  </si>
  <si>
    <t xml:space="preserve">agentic-ai:ch16 (26), agentic-ai:ch15 (18), agentic-ai:ch17 (8)</t>
  </si>
  <si>
    <t xml:space="preserve">heading: aggregation complexity verifi, heading: actual persistence proof, heading: checklist complete setup, new_entry, main_py_code, database_code, asha_sheet, serve_index, api_list_entries, fileresponse, api_project_summary, api_list_projects</t>
  </si>
  <si>
    <t xml:space="preserve">R-063</t>
  </si>
  <si>
    <t xml:space="preserve">Why MCP Had to Exist.txt</t>
  </si>
  <si>
    <t xml:space="preserve">Complete MCP/Why MCP Had to Exist.txt</t>
  </si>
  <si>
    <t xml:space="preserve">R-064</t>
  </si>
  <si>
    <t xml:space="preserve">claude_desktop_config.json</t>
  </si>
  <si>
    <t xml:space="preserve">Complete MCP/claude_desktop_config.json</t>
  </si>
  <si>
    <t xml:space="preserve">R-065</t>
  </si>
  <si>
    <t xml:space="preserve">Complete MCP/first-mcp-server/.python-version</t>
  </si>
  <si>
    <t xml:space="preserve">R-066</t>
  </si>
  <si>
    <t xml:space="preserve">Complete MCP/first-mcp-server/README.md</t>
  </si>
  <si>
    <t xml:space="preserve">R-067</t>
  </si>
  <si>
    <t xml:space="preserve">Untitled-1.json</t>
  </si>
  <si>
    <t xml:space="preserve">Complete MCP/first-mcp-server/Untitled-1.json</t>
  </si>
  <si>
    <t xml:space="preserve">R-068</t>
  </si>
  <si>
    <t xml:space="preserve">Complete MCP/first-mcp-server/main.py</t>
  </si>
  <si>
    <t xml:space="preserve">R-069</t>
  </si>
  <si>
    <t xml:space="preserve">Complete MCP/first-mcp-server/pyproject.toml</t>
  </si>
  <si>
    <t xml:space="preserve">R-070</t>
  </si>
  <si>
    <t xml:space="preserve">Complete MCP/first-mcp-server/recipebox_fastmcp.py</t>
  </si>
  <si>
    <t xml:space="preserve">agentic-ai:ch14 (10), agentic-ai:ch11 (5), agentic-ai:ch12 (2)</t>
  </si>
  <si>
    <t xml:space="preserve">search_for_quick_recipes</t>
  </si>
  <si>
    <t xml:space="preserve">R-071</t>
  </si>
  <si>
    <t xml:space="preserve">Complete MCP/first-mcp-server/recipebox_lowlevel.py</t>
  </si>
  <si>
    <t xml:space="preserve">R-072</t>
  </si>
  <si>
    <t xml:space="preserve">Complete MCP/first-mcp-server/uv.lock</t>
  </si>
  <si>
    <t xml:space="preserve">R-073</t>
  </si>
  <si>
    <t xml:space="preserve">link.txt</t>
  </si>
  <si>
    <t xml:space="preserve">Complete MCP/link.txt</t>
  </si>
  <si>
    <t xml:space="preserve">R-074</t>
  </si>
  <si>
    <t xml:space="preserve">Complete MCP/mcp-warmup/.gitignore</t>
  </si>
  <si>
    <t xml:space="preserve">R-075</t>
  </si>
  <si>
    <t xml:space="preserve">Complete MCP/mcp-warmup/.python-version</t>
  </si>
  <si>
    <t xml:space="preserve">R-076</t>
  </si>
  <si>
    <t xml:space="preserve">Complete MCP/mcp-warmup/README.md</t>
  </si>
  <si>
    <t xml:space="preserve">R-077</t>
  </si>
  <si>
    <t xml:space="preserve">Complete MCP/mcp-warmup/mcp_server_with_primitives.py</t>
  </si>
  <si>
    <t xml:space="preserve">R-078</t>
  </si>
  <si>
    <t xml:space="preserve">Complete MCP/mcp-warmup/pyproject.toml</t>
  </si>
  <si>
    <t xml:space="preserve">R-079</t>
  </si>
  <si>
    <t xml:space="preserve">Complete MCP/mcp-warmup/server.py</t>
  </si>
  <si>
    <t xml:space="preserve">R-080</t>
  </si>
  <si>
    <t xml:space="preserve">Complete MCP/mcp-warmup/server_with_auth.py</t>
  </si>
  <si>
    <t xml:space="preserve">R-081</t>
  </si>
  <si>
    <t xml:space="preserve">Complete MCP/mcp-warmup/src/mcp_warmup/__init__.py</t>
  </si>
  <si>
    <t xml:space="preserve">R-082</t>
  </si>
  <si>
    <t xml:space="preserve">Complete MCP/mcp-warmup/uv.lock</t>
  </si>
  <si>
    <t xml:space="preserve">R-083</t>
  </si>
  <si>
    <t xml:space="preserve">mcp.log</t>
  </si>
  <si>
    <t xml:space="preserve">Complete MCP/mcp.log</t>
  </si>
  <si>
    <t xml:space="preserve">R-084</t>
  </si>
  <si>
    <t xml:space="preserve">mcp_wiretap.py</t>
  </si>
  <si>
    <t xml:space="preserve">Complete MCP/mcp_wiretap.py</t>
  </si>
  <si>
    <t xml:space="preserve">mcp_wiretap.py — a universal wiretap for ANY real MCP server, not just a toy one.</t>
  </si>
  <si>
    <t xml:space="preserve">agentic-ai:ch13 (11), agentic-ai:ch17 (9), agentic-ai:ch15 (9)</t>
  </si>
  <si>
    <t xml:space="preserve">use_color, store_true, pretty_json, no_color, colorize_json, colored_banner, c_str, c_server, c_punct, c_num, c_key, c_event</t>
  </si>
  <si>
    <t xml:space="preserve">R-085</t>
  </si>
  <si>
    <t xml:space="preserve">mcp_wiretap_no_color.py</t>
  </si>
  <si>
    <t xml:space="preserve">Complete MCP/mcp_wiretap_no_color.py</t>
  </si>
  <si>
    <t xml:space="preserve">agentic-ai:ch13 (11), agentic-ai:ch15 (9), agentic-ai:ch16 (8)</t>
  </si>
  <si>
    <t xml:space="preserve">usage, remainder, relay_server_to_client, relay_client_to_server, real_command, pipe, parse_args, important, argumentparser, add_argument</t>
  </si>
  <si>
    <t xml:space="preserve">R-086</t>
  </si>
  <si>
    <t xml:space="preserve">p2_MCP_Architecture.ipynb</t>
  </si>
  <si>
    <t xml:space="preserve">Complete MCP/p2_MCP_Architecture.ipynb</t>
  </si>
  <si>
    <t xml:space="preserve">MCP Architecture: Who Talks, and What They Can Offer</t>
  </si>
  <si>
    <t xml:space="preserve">agentic-ai:ch11 (9), agentic-ai:ch14 (9), agentic-ai:ch16 (9)</t>
  </si>
  <si>
    <t xml:space="preserve">heading: proven tools, server_code</t>
  </si>
  <si>
    <t xml:space="preserve">R-087</t>
  </si>
  <si>
    <t xml:space="preserve">v4a_primitives_notebook (3).ipynb</t>
  </si>
  <si>
    <t xml:space="preserve">Complete MCP/v4a_primitives_notebook (3).ipynb</t>
  </si>
  <si>
    <t xml:space="preserve">MCP Primitives: The Three Things a Server Can Offer</t>
  </si>
  <si>
    <t xml:space="preserve">agentic-ai:ch12 (12), agentic-ai:ch11 (9), agentic-ai:ch15 (5)</t>
  </si>
  <si>
    <t xml:space="preserve">heading: github ground tools, prompt_definition, final_server_code, example_output</t>
  </si>
  <si>
    <t xml:space="preserve">R-088</t>
  </si>
  <si>
    <t xml:space="preserve">wiretap-live.log</t>
  </si>
  <si>
    <t xml:space="preserve">Complete MCP/wiretap-live.log</t>
  </si>
  <si>
    <t xml:space="preserve">R-089</t>
  </si>
  <si>
    <t xml:space="preserve">GLOSSARY.md</t>
  </si>
  <si>
    <t xml:space="preserve">📖 Glossary — Agentic AI 3.0</t>
  </si>
  <si>
    <t xml:space="preserve">agentic-ai:cheat (18), agentic-ai:glossary (17), agentic-ai:ch7 (12)</t>
  </si>
  <si>
    <t xml:space="preserve">R-090</t>
  </si>
  <si>
    <t xml:space="preserve">PREREQUISITES.md</t>
  </si>
  <si>
    <t xml:space="preserve">🧰 Prerequisites &amp; First-Time Setup</t>
  </si>
  <si>
    <t xml:space="preserve">agentic-ai:ch20 (8), foundations:f1 (7), agentic-ai:ch1 (6)</t>
  </si>
  <si>
    <t xml:space="preserve">gsk_your_real_key_here</t>
  </si>
  <si>
    <t xml:space="preserve">R-091</t>
  </si>
  <si>
    <t xml:space="preserve">🚀 Live Class 2026 — Agentic AI 3.0 Specialization</t>
  </si>
  <si>
    <t xml:space="preserve">agentic-ai:ch3 (6), agentic-ai:ch6 (6), foundations:f1 (5)</t>
  </si>
  <si>
    <t xml:space="preserve">heading: project recurr throughout, heading: organiz</t>
  </si>
  <si>
    <t xml:space="preserve">R-092</t>
  </si>
  <si>
    <t xml:space="preserve">Weekend 00 - 20-21 Jun</t>
  </si>
  <si>
    <t xml:space="preserve">Weekend 00 - 20-21 Jun/README.md</t>
  </si>
  <si>
    <t xml:space="preserve">🗓️ Weekend 00 — 21 Jun — Course Induction</t>
  </si>
  <si>
    <t xml:space="preserve">heading: navigation weekend</t>
  </si>
  <si>
    <t xml:space="preserve">R-093</t>
  </si>
  <si>
    <t xml:space="preserve">Weekend 01 - 27-28 Jun</t>
  </si>
  <si>
    <t xml:space="preserve">Class-1-Python-and-AI.pdf</t>
  </si>
  <si>
    <t xml:space="preserve">Weekend 01 - 27-28 Jun/01 - 27 Jun - Python Setup &amp; API Basics/Class-1-Python-and-AI.pdf</t>
  </si>
  <si>
    <t xml:space="preserve">R-094</t>
  </si>
  <si>
    <t xml:space="preserve">OOPS.py</t>
  </si>
  <si>
    <t xml:space="preserve">Weekend 01 - 27-28 Jun/01 - 27 Jun - Python Setup &amp; API Basics/OOPS.py</t>
  </si>
  <si>
    <t xml:space="preserve">R-095</t>
  </si>
  <si>
    <t xml:space="preserve">Python_foundamentals.py</t>
  </si>
  <si>
    <t xml:space="preserve">Weekend 01 - 27-28 Jun/01 - 27 Jun - Python Setup &amp; API Basics/Python_foundamentals.py</t>
  </si>
  <si>
    <t xml:space="preserve">pydantic:glossary (5), foundations:f1 (5), foundations:f3 (4)</t>
  </si>
  <si>
    <t xml:space="preserve">day_temp, is_raining</t>
  </si>
  <si>
    <t xml:space="preserve">R-096</t>
  </si>
  <si>
    <t xml:space="preserve">Weekend 01 - 27-28 Jun/01 - 27 Jun - Python Setup &amp; API Basics/README.md</t>
  </si>
  <si>
    <t xml:space="preserve">🐍 Class 01 — Python for AI: Dev Environment &amp; Fundamentals</t>
  </si>
  <si>
    <t xml:space="preserve">foundations:f4 (8), foundations:f3 (6), foundations:f1 (5)</t>
  </si>
  <si>
    <t xml:space="preserve">python_foundamentals, heading: agent fram fundamental vocabulary, heading: environment sett, tool_registry, oops, day_temp, converted_amount, get_current_time, fake_weather_data, heading: action items, is_raining, allowed_characters</t>
  </si>
  <si>
    <t xml:space="preserve">Add the missing concepts to Foundations f1 or f4</t>
  </si>
  <si>
    <t xml:space="preserve">R-097</t>
  </si>
  <si>
    <t xml:space="preserve">currency.py</t>
  </si>
  <si>
    <t xml:space="preserve">Weekend 01 - 27-28 Jun/01 - 27 Jun - Python Setup &amp; API Basics/currency.py</t>
  </si>
  <si>
    <t xml:space="preserve">converted_amount, to_currency, from_currency, raise_for_status</t>
  </si>
  <si>
    <t xml:space="preserve">Read and add to Foundations f1 or f4</t>
  </si>
  <si>
    <t xml:space="preserve">R-098</t>
  </si>
  <si>
    <t xml:space="preserve">functions or tools.py</t>
  </si>
  <si>
    <t xml:space="preserve">Weekend 01 - 27-28 Jun/01 - 27 Jun - Python Setup &amp; API Basics/functions or tools.py</t>
  </si>
  <si>
    <t xml:space="preserve">get_current_time, fake_weather_data</t>
  </si>
  <si>
    <t xml:space="preserve">R-099</t>
  </si>
  <si>
    <t xml:space="preserve">Weekend 01 - 27-28 Jun/01 - 27 Jun - Python Setup &amp; API Basics/my-first-project/.python-version</t>
  </si>
  <si>
    <t xml:space="preserve">R-100</t>
  </si>
  <si>
    <t xml:space="preserve">Weekend 01 - 27-28 Jun/01 - 27 Jun - Python Setup &amp; API Basics/my-first-project/README.md</t>
  </si>
  <si>
    <t xml:space="preserve">my-first-project</t>
  </si>
  <si>
    <t xml:space="preserve">R-101</t>
  </si>
  <si>
    <t xml:space="preserve">Weekend 01 - 27-28 Jun/01 - 27 Jun - Python Setup &amp; API Basics/my-first-project/main.py</t>
  </si>
  <si>
    <t xml:space="preserve">R-102</t>
  </si>
  <si>
    <t xml:space="preserve">Weekend 01 - 27-28 Jun/01 - 27 Jun - Python Setup &amp; API Basics/my-first-project/pyproject.toml</t>
  </si>
  <si>
    <t xml:space="preserve">R-103</t>
  </si>
  <si>
    <t xml:space="preserve">requirements.txt</t>
  </si>
  <si>
    <t xml:space="preserve">Weekend 01 - 27-28 Jun/01 - 27 Jun - Python Setup &amp; API Basics/my-first-project/requirements.txt</t>
  </si>
  <si>
    <t xml:space="preserve">R-104</t>
  </si>
  <si>
    <t xml:space="preserve">Weekend 01 - 27-28 Jun/01 - 27 Jun - Python Setup &amp; API Basics/my-first-project/uv.lock</t>
  </si>
  <si>
    <t xml:space="preserve">R-105</t>
  </si>
  <si>
    <t xml:space="preserve">notebook.ipynb</t>
  </si>
  <si>
    <t xml:space="preserve">Weekend 01 - 27-28 Jun/01 - 27 Jun - Python Setup &amp; API Basics/notebook.ipynb</t>
  </si>
  <si>
    <t xml:space="preserve">foundations:f3 (2), foundations:f4 (2)</t>
  </si>
  <si>
    <t xml:space="preserve">is_raining</t>
  </si>
  <si>
    <t xml:space="preserve">R-106</t>
  </si>
  <si>
    <t xml:space="preserve">tools.py</t>
  </si>
  <si>
    <t xml:space="preserve">Weekend 01 - 27-28 Jun/01 - 27 Jun - Python Setup &amp; API Basics/tools.py</t>
  </si>
  <si>
    <t xml:space="preserve">pydantic:glossary (2), foundations:f4 (2)</t>
  </si>
  <si>
    <t xml:space="preserve">s307, get_current_time, fake_weather_data, tool_registry, allowed_characters, elapsed_ms, perf_counter</t>
  </si>
  <si>
    <t xml:space="preserve">R-107</t>
  </si>
  <si>
    <t xml:space="preserve">.env.example</t>
  </si>
  <si>
    <t xml:space="preserve">Weekend 01 - 27-28 Jun/02-03 - 28 Jun &amp; 4 Jul - Python Refresher &amp; Pydantic Deep Dive/.env.example</t>
  </si>
  <si>
    <t xml:space="preserve">All OPTIONAL -- every file falls back automatically to File 6's</t>
  </si>
  <si>
    <t xml:space="preserve">R-108</t>
  </si>
  <si>
    <t xml:space="preserve">Weekend 01 - 27-28 Jun/02-03 - 28 Jun &amp; 4 Jul - Python Refresher &amp; Pydantic Deep Dive/8_Pydantic/.python-version</t>
  </si>
  <si>
    <t xml:space="preserve">R-109</t>
  </si>
  <si>
    <t xml:space="preserve">1. Why Pydantic.py</t>
  </si>
  <si>
    <t xml:space="preserve">Weekend 01 - 27-28 Jun/02-03 - 28 Jun &amp; 4 Jul - Python Refresher &amp; Pydantic Deep Dive/8_Pydantic/1. Why Pydantic.py</t>
  </si>
  <si>
    <t xml:space="preserve">pydantic:p1 (2), pydantic:glossary (2), pydantic:p7 (2)</t>
  </si>
  <si>
    <t xml:space="preserve">R-110</t>
  </si>
  <si>
    <t xml:space="preserve">Pydantic_From_Scratch.ipynb</t>
  </si>
  <si>
    <t xml:space="preserve">Weekend 01 - 27-28 Jun/02-03 - 28 Jun &amp; 4 Jul - Python Refresher &amp; Pydantic Deep Dive/8_Pydantic/Pydantic_From_Scratch.ipynb</t>
  </si>
  <si>
    <t xml:space="preserve">Not only Field Type Validation but Data validation is also something</t>
  </si>
  <si>
    <t xml:space="preserve">pydantic:p3 (7), pydantic:p4 (7), pydantic:p5 (6)</t>
  </si>
  <si>
    <t xml:space="preserve">signupform2, is_interested, user_1, jobapplicationv1, valid_applicant, user_a, job_data, incoming_data, dump_data, formdata, userdataclass, useraccount</t>
  </si>
  <si>
    <t xml:space="preserve">R-111</t>
  </si>
  <si>
    <t xml:space="preserve">Weekend 01 - 27-28 Jun/02-03 - 28 Jun &amp; 4 Jul - Python Refresher &amp; Pydantic Deep Dive/8_Pydantic/README.md</t>
  </si>
  <si>
    <t xml:space="preserve">🛡️ Pydantic From Scratch</t>
  </si>
  <si>
    <t xml:space="preserve">pydantic:glossary (4), pydantic:p4 (4), pydantic:p12 (3)</t>
  </si>
  <si>
    <t xml:space="preserve">R-112</t>
  </si>
  <si>
    <t xml:space="preserve">Weekend 01 - 27-28 Jun/02-03 - 28 Jun &amp; 4 Jul - Python Refresher &amp; Pydantic Deep Dive/8_Pydantic/main.py</t>
  </si>
  <si>
    <t xml:space="preserve">R-113</t>
  </si>
  <si>
    <t xml:space="preserve">Weekend 01 - 27-28 Jun/02-03 - 28 Jun &amp; 4 Jul - Python Refresher &amp; Pydantic Deep Dive/8_Pydantic/pyproject.toml</t>
  </si>
  <si>
    <t xml:space="preserve">R-114</t>
  </si>
  <si>
    <t xml:space="preserve">test.ipynb</t>
  </si>
  <si>
    <t xml:space="preserve">Weekend 01 - 27-28 Jun/02-03 - 28 Jun &amp; 4 Jul - Python Refresher &amp; Pydantic Deep Dive/8_Pydantic/test.ipynb</t>
  </si>
  <si>
    <t xml:space="preserve">R-115</t>
  </si>
  <si>
    <t xml:space="preserve">Agentic-3-0.pdf</t>
  </si>
  <si>
    <t xml:space="preserve">Weekend 01 - 27-28 Jun/02-03 - 28 Jun &amp; 4 Jul - Python Refresher &amp; Pydantic Deep Dive/Agentic-3-0.pdf</t>
  </si>
  <si>
    <t xml:space="preserve">R-116</t>
  </si>
  <si>
    <t xml:space="preserve">Class-3-4.pdf</t>
  </si>
  <si>
    <t xml:space="preserve">Weekend 01 - 27-28 Jun/02-03 - 28 Jun &amp; 4 Jul - Python Refresher &amp; Pydantic Deep Dive/Class-3-4.pdf</t>
  </si>
  <si>
    <t xml:space="preserve">R-117</t>
  </si>
  <si>
    <t xml:space="preserve">Python_run.ipynb</t>
  </si>
  <si>
    <t xml:space="preserve">Weekend 01 - 27-28 Jun/02-03 - 28 Jun &amp; 4 Jul - Python Refresher &amp; Pydantic Deep Dive/Python_run.ipynb</t>
  </si>
  <si>
    <t xml:space="preserve">Array vs List:</t>
  </si>
  <si>
    <t xml:space="preserve">has_ticket, has_id, weather_reading, temperature_c</t>
  </si>
  <si>
    <t xml:space="preserve">R-118</t>
  </si>
  <si>
    <t xml:space="preserve">Weekend 01 - 27-28 Jun/02-03 - 28 Jun &amp; 4 Jul - Python Refresher &amp; Pydantic Deep Dive/README.md</t>
  </si>
  <si>
    <t xml:space="preserve">🧱 Class 02-03 — Python Refresher &amp; Pydantic Deep Dive</t>
  </si>
  <si>
    <t xml:space="preserve">pydantic:cheat (4), pydantic:glossary (4), pydantic:p3 (4)</t>
  </si>
  <si>
    <t xml:space="preserve">heading: order thing, heading: files order teach, heading: codebase expand pydantic starter, _8_pydantic_with_ai, _4_decorators, _2_oop_classes, heading: problem stat, heading: agent before build terms vocabulary, heading: boilerplate dataclass kill, heading: account orient, heading: folder, heading: setup</t>
  </si>
  <si>
    <t xml:space="preserve">Add the missing concepts to Pydantic book</t>
  </si>
  <si>
    <t xml:space="preserve">R-119</t>
  </si>
  <si>
    <t xml:space="preserve">_0_basics_refresher.py</t>
  </si>
  <si>
    <t xml:space="preserve">Weekend 01 - 27-28 Jun/02-03 - 28 Jun &amp; 4 Jul - Python Refresher &amp; Pydantic Deep Dive/_0_basics_refresher.py</t>
  </si>
  <si>
    <t xml:space="preserve">has_ticket, has_id, is_raining</t>
  </si>
  <si>
    <t xml:space="preserve">R-120</t>
  </si>
  <si>
    <t xml:space="preserve">_10_tool_with_ai_call.py</t>
  </si>
  <si>
    <t xml:space="preserve">Weekend 01 - 27-28 Jun/02-03 - 28 Jun &amp; 4 Jul - Python Refresher &amp; Pydantic Deep Dive/_10_tool_with_ai_call.py</t>
  </si>
  <si>
    <t xml:space="preserve">pydantic:p4 (7), pydantic:cheat (7), pydantic:p11 (6)</t>
  </si>
  <si>
    <t xml:space="preserve">call_tool_safely, raw_arguments, must_be_known_currency, convertcurrencyargs, ask_ai, tool_registry, fakeaiclient, ble001, known_currencies, convert_currency, to_currency, from_currency</t>
  </si>
  <si>
    <t xml:space="preserve">R-121</t>
  </si>
  <si>
    <t xml:space="preserve">_11_agent_class_ai_only.py</t>
  </si>
  <si>
    <t xml:space="preserve">Weekend 01 - 27-28 Jun/02-03 - 28 Jun &amp; 4 Jul - Python Refresher &amp; Pydantic Deep Dive/_11_agent_class_ai_only.py</t>
  </si>
  <si>
    <t xml:space="preserve">pydantic:p11 (2)</t>
  </si>
  <si>
    <t xml:space="preserve">trip_planner, show_transcript, ask_brain, fakeaiclient, ble001, groq_api_key, base_url, system_prompt, load_dotenv</t>
  </si>
  <si>
    <t xml:space="preserve">R-122</t>
  </si>
  <si>
    <t xml:space="preserve">_12_agent_with_one_tool.py</t>
  </si>
  <si>
    <t xml:space="preserve">Weekend 01 - 27-28 Jun/02-03 - 28 Jun &amp; 4 Jul - Python Refresher &amp; Pydantic Deep Dive/_12_agent_with_one_tool.py</t>
  </si>
  <si>
    <t xml:space="preserve">pydantic:glossary (6), pydantic:cheat (6), pydantic:p4 (4)</t>
  </si>
  <si>
    <t xml:space="preserve">use_tool, trip_planner, show_transcript, call_tool_safely, ask_brain, raw_arguments, must_be_known_currency, convertcurrencyargs, tool_registry, fakeaiclient, ble001, known_currencies</t>
  </si>
  <si>
    <t xml:space="preserve">R-123</t>
  </si>
  <si>
    <t xml:space="preserve">_13_agent_with_more_tools.py</t>
  </si>
  <si>
    <t xml:space="preserve">Weekend 01 - 27-28 Jun/02-03 - 28 Jun &amp; 4 Jul - Python Refresher &amp; Pydantic Deep Dive/_13_agent_with_more_tools.py</t>
  </si>
  <si>
    <t xml:space="preserve">pydantic:glossary (6), pydantic:cheat (6), pydantic:p11 (4)</t>
  </si>
  <si>
    <t xml:space="preserve">use_tool, trip_planner, show_transcript, call_tool_safely, ask_brain, raw_arguments, must_be_known_currency, convertcurrencyargs, sample_weather, tool_registry, fakeaiclient, ble001</t>
  </si>
  <si>
    <t xml:space="preserve">R-124</t>
  </si>
  <si>
    <t xml:space="preserve">_14_agent_with_memory.py</t>
  </si>
  <si>
    <t xml:space="preserve">Weekend 01 - 27-28 Jun/02-03 - 28 Jun &amp; 4 Jul - Python Refresher &amp; Pydantic Deep Dive/_14_agent_with_memory.py</t>
  </si>
  <si>
    <t xml:space="preserve">pydantic:glossary (6), pydantic:p2 (5), pydantic:cheat (5)</t>
  </si>
  <si>
    <t xml:space="preserve">use_tool, conversation_memory, trip_planner, show_transcript, call_tool_safely, ask_brain, raw_arguments, must_be_known_currency, convertcurrencyargs, sample_weather, tool_registry, fakeaiclient</t>
  </si>
  <si>
    <t xml:space="preserve">R-125</t>
  </si>
  <si>
    <t xml:space="preserve">_1_data_structures.py</t>
  </si>
  <si>
    <t xml:space="preserve">Weekend 01 - 27-28 Jun/02-03 - 28 Jun &amp; 4 Jul - Python Refresher &amp; Pydantic Deep Dive/_1_data_structures.py</t>
  </si>
  <si>
    <t xml:space="preserve">warm_cities, weather_reading, temperature_c</t>
  </si>
  <si>
    <t xml:space="preserve">R-126</t>
  </si>
  <si>
    <t xml:space="preserve">_2_oop_classes.py</t>
  </si>
  <si>
    <t xml:space="preserve">Weekend 01 - 27-28 Jun/02-03 - 28 Jun &amp; 4 Jul - Python Refresher &amp; Pydantic Deep Dive/_2_oop_classes.py</t>
  </si>
  <si>
    <t xml:space="preserve">pydantic:p3 (2)</t>
  </si>
  <si>
    <t xml:space="preserve">show_history, add_tag, my_book, account_2, account_1, bankaccount, pages_read</t>
  </si>
  <si>
    <t xml:space="preserve">Read and add to Pydantic book</t>
  </si>
  <si>
    <t xml:space="preserve">R-127</t>
  </si>
  <si>
    <t xml:space="preserve">_3_error_handling.py</t>
  </si>
  <si>
    <t xml:space="preserve">Weekend 01 - 27-28 Jun/02-03 - 28 Jun &amp; 4 Jul - Python Refresher &amp; Pydantic Deep Dive/_3_error_handling.py</t>
  </si>
  <si>
    <t xml:space="preserve">safe_divide, read_setting, weather_reading, temperature_c</t>
  </si>
  <si>
    <t xml:space="preserve">R-128</t>
  </si>
  <si>
    <t xml:space="preserve">_4_decorators.py</t>
  </si>
  <si>
    <t xml:space="preserve">Weekend 01 - 27-28 Jun/02-03 - 28 Jun &amp; 4 Jul - Python Refresher &amp; Pydantic Deep Dive/_4_decorators.py</t>
  </si>
  <si>
    <t xml:space="preserve">slow_addition, slow_greeting, elapsed_ms, perf_counter</t>
  </si>
  <si>
    <t xml:space="preserve">R-129</t>
  </si>
  <si>
    <t xml:space="preserve">_5_calling_a_real_api.py</t>
  </si>
  <si>
    <t xml:space="preserve">Weekend 01 - 27-28 Jun/02-03 - 28 Jun &amp; 4 Jul - Python Refresher &amp; Pydantic Deep Dive/_5_calling_a_real_api.py</t>
  </si>
  <si>
    <t xml:space="preserve">status_code, convert_currency, to_currency, from_currency, raise_for_status</t>
  </si>
  <si>
    <t xml:space="preserve">R-130</t>
  </si>
  <si>
    <t xml:space="preserve">_6_fake_ai_call.py</t>
  </si>
  <si>
    <t xml:space="preserve">Weekend 01 - 27-28 Jun/02-03 - 28 Jun &amp; 4 Jul - Python Refresher &amp; Pydantic Deep Dive/_6_fake_ai_call.py</t>
  </si>
  <si>
    <t xml:space="preserve">last_user_message, fake_ai, _fakeresponse, fakeaiclient, user_message</t>
  </si>
  <si>
    <t xml:space="preserve">R-131</t>
  </si>
  <si>
    <t xml:space="preserve">_7_ai_call_free_and_paid.py</t>
  </si>
  <si>
    <t xml:space="preserve">Weekend 01 - 27-28 Jun/02-03 - 28 Jun &amp; 4 Jul - Python Refresher &amp; Pydantic Deep Dive/_7_ai_call_free_and_paid.py</t>
  </si>
  <si>
    <t xml:space="preserve">pydantic:p12 (2), pydantic:home (2), pydantic:p11 (2)</t>
  </si>
  <si>
    <t xml:space="preserve">call_openrouter, call_openai_paid, call_groq, call_fallback, question, fakeaiclient, ble001, openrouter_api_key, groq_api_key, base_url, openai_api_key, load_dotenv</t>
  </si>
  <si>
    <t xml:space="preserve">R-132</t>
  </si>
  <si>
    <t xml:space="preserve">_8_pydantic_with_ai.py</t>
  </si>
  <si>
    <t xml:space="preserve">Weekend 01 - 27-28 Jun/02-03 - 28 Jun &amp; 4 Jul - Python Refresher &amp; Pydantic Deep Dive/_8_pydantic_with_ai.py</t>
  </si>
  <si>
    <t xml:space="preserve">pydantic:glossary (11), pydantic:cheat (11), pydantic:p2 (10)</t>
  </si>
  <si>
    <t xml:space="preserve">target_currency, llm_clean_output, conversionrequest, strictamount, must_be_known, llm_messy_output, currencyamount, boundedamount, known_currencies</t>
  </si>
  <si>
    <t xml:space="preserve">R-133</t>
  </si>
  <si>
    <t xml:space="preserve">_9_api_call_with_structure.py</t>
  </si>
  <si>
    <t xml:space="preserve">Weekend 01 - 27-28 Jun/02-03 - 28 Jun &amp; 4 Jul - Python Refresher &amp; Pydantic Deep Dive/_9_api_call_with_structure.py</t>
  </si>
  <si>
    <t xml:space="preserve">pydantic:glossary (6), pydantic:p4 (6), pydantic:cheat (5)</t>
  </si>
  <si>
    <t xml:space="preserve">convert_currency_validated, raw_arguments, must_be_known_currency, convertcurrencyargs, known_currencies, convert_currency, to_currency, from_currency, raise_for_status</t>
  </si>
  <si>
    <t xml:space="preserve">R-134</t>
  </si>
  <si>
    <t xml:space="preserve">Weekend 01 - 27-28 Jun/02-03 - 28 Jun &amp; 4 Jul - Python Refresher &amp; Pydantic Deep Dive/pyproject.toml</t>
  </si>
  <si>
    <t xml:space="preserve">R-135</t>
  </si>
  <si>
    <t xml:space="preserve">Weekend 01 - 27-28 Jun/02-03 - 28 Jun &amp; 4 Jul - Python Refresher &amp; Pydantic Deep Dive/uv.lock</t>
  </si>
  <si>
    <t xml:space="preserve">R-136</t>
  </si>
  <si>
    <t xml:space="preserve">AI_Industry_Handbook_2026.pdf</t>
  </si>
  <si>
    <t xml:space="preserve">Weekend 01 - 27-28 Jun/AI_Industry_Handbook_2026.pdf</t>
  </si>
  <si>
    <t xml:space="preserve">R-137</t>
  </si>
  <si>
    <t xml:space="preserve">Weekend 01 - 27-28 Jun/README.md</t>
  </si>
  <si>
    <t xml:space="preserve">🗓️ Weekend 01 — 27-28 Jun — Python Setup &amp; Refresher</t>
  </si>
  <si>
    <t xml:space="preserve">R-138</t>
  </si>
  <si>
    <t xml:space="preserve">Weekend 02 - 4-5 Jul</t>
  </si>
  <si>
    <t xml:space="preserve">Weekend 02 - 4-5 Jul/04-05 - 5 Jul &amp; 11 Jul - Anatomy of an Agent &amp; The Agentic Loop/.gitignore</t>
  </si>
  <si>
    <t xml:space="preserve">R-139</t>
  </si>
  <si>
    <t xml:space="preserve">Weekend 02 - 4-5 Jul/04-05 - 5 Jul &amp; 11 Jul - Anatomy of an Agent &amp; The Agentic Loop/Project 0/README.md</t>
  </si>
  <si>
    <t xml:space="preserve">Project Zero</t>
  </si>
  <si>
    <t xml:space="preserve">foundations:f4 (8), foundations:f1 (2)</t>
  </si>
  <si>
    <t xml:space="preserve">R-140</t>
  </si>
  <si>
    <t xml:space="preserve">_01_ai_model_vs_chatbot_vs_agent.py</t>
  </si>
  <si>
    <t xml:space="preserve">Weekend 02 - 4-5 Jul/04-05 - 5 Jul &amp; 11 Jul - Anatomy of an Agent &amp; The Agentic Loop/Project 0/_01_ai_model_vs_chatbot_vs_agent.py</t>
  </si>
  <si>
    <t xml:space="preserve">Structural comparison: AI model vs. chatbot vs. agent.</t>
  </si>
  <si>
    <t xml:space="preserve">foundations:f4</t>
  </si>
  <si>
    <t xml:space="preserve">decide_tool, ai_model, tool_name</t>
  </si>
  <si>
    <t xml:space="preserve">R-141</t>
  </si>
  <si>
    <t xml:space="preserve">_02_calling_the_ai_paid_and_free.py</t>
  </si>
  <si>
    <t xml:space="preserve">Weekend 02 - 4-5 Jul/04-05 - 5 Jul &amp; 11 Jul - Anatomy of an Agent &amp; The Agentic Loop/Project 0/_02_calling_the_ai_paid_and_free.py</t>
  </si>
  <si>
    <t xml:space="preserve">Calling a real AI model: two paid providers, two free providers.</t>
  </si>
  <si>
    <t xml:space="preserve">pydantic:p11 (3), foundations:f1 (2), foundations:f4 (2)</t>
  </si>
  <si>
    <t xml:space="preserve">ask_openrouter, ask_openai, ask_groq, ask_anthropic, ask_ai, openrouter_api_key, anthropic_api_key, openai_api_key, load_dotenv</t>
  </si>
  <si>
    <t xml:space="preserve">R-142</t>
  </si>
  <si>
    <t xml:space="preserve">_03_structuring_with_pydantic.py</t>
  </si>
  <si>
    <t xml:space="preserve">Weekend 02 - 4-5 Jul/04-05 - 5 Jul &amp; 11 Jul - Anatomy of an Agent &amp; The Agentic Loop/Project 0/_03_structuring_with_pydantic.py</t>
  </si>
  <si>
    <t xml:space="preserve">Structuring an AI reply with Pydantic so it can be trusted downstream.</t>
  </si>
  <si>
    <t xml:space="preserve">pydantic:p11 (4), pydantic:p8 (3), pydantic:cheat (3)</t>
  </si>
  <si>
    <t xml:space="preserve">wants_fahrenheit, raw_reply, ask_openrouter, weatherquestion, extract_weather_question, ask_openai, ask_groq, ask_anthropic, ask_ai, user_message, openrouter_api_key, groq_api_key</t>
  </si>
  <si>
    <t xml:space="preserve">R-143</t>
  </si>
  <si>
    <t xml:space="preserve">_04_giving_it_a_tool.py</t>
  </si>
  <si>
    <t xml:space="preserve">Weekend 02 - 4-5 Jul/04-05 - 5 Jul &amp; 11 Jul - Anatomy of an Agent &amp; The Agentic Loop/Project 0/_04_giving_it_a_tool.py</t>
  </si>
  <si>
    <t xml:space="preserve">A tool (weather) called manually, using a structured field extracted by the AI.</t>
  </si>
  <si>
    <t xml:space="preserve">pydantic:p11 (4), foundations:f1 (4), foundations:f4 (3)</t>
  </si>
  <si>
    <t xml:space="preserve">wants_fahrenheit, raw_reply, ask_openrouter, answer_weather_question, weatherquestion, extract_weather_question, ask_openai, ask_groq, ask_anthropic, ask_ai, sample_weather, user_message</t>
  </si>
  <si>
    <t xml:space="preserve">R-144</t>
  </si>
  <si>
    <t xml:space="preserve">_05_teaching_it_to_choose.py</t>
  </si>
  <si>
    <t xml:space="preserve">Weekend 02 - 4-5 Jul/04-05 - 5 Jul &amp; 11 Jul - Anatomy of an Agent &amp; The Agentic Loop/Project 0/_05_teaching_it_to_choose.py</t>
  </si>
  <si>
    <t xml:space="preserve">Letting the model choose a tool for itself, via a tool schema.</t>
  </si>
  <si>
    <t xml:space="preserve">foundations:f3 (4), foundations:f4 (4), pydantic:p11 (3)</t>
  </si>
  <si>
    <t xml:space="preserve">get_tool_schemas, get_tool_information, get_complete_weather_schema, get_calculator_schema, get_air_quality_schema, get_air_quality, function_call, get_tool_schema_for_llm, get_capital_schema, chatcompletionmessagetoolcall, chatcompletionmessage, ask_ai_to_choose</t>
  </si>
  <si>
    <t xml:space="preserve">R-145</t>
  </si>
  <si>
    <t xml:space="preserve">_06_project_zero_agent.py</t>
  </si>
  <si>
    <t xml:space="preserve">Weekend 02 - 4-5 Jul/04-05 - 5 Jul &amp; 11 Jul - Anatomy of an Agent &amp; The Agentic Loop/Project 0/_06_project_zero_agent.py</t>
  </si>
  <si>
    <t xml:space="preserve">The assembled agent: brain + tool + schema + a loop that lets the model</t>
  </si>
  <si>
    <t xml:space="preserve">foundations:f4 (9), foundations:f3 (9), foundations:cheat (7)</t>
  </si>
  <si>
    <t xml:space="preserve">repl, each_tool_call, call_tools_async, tool_function, user_input, get_client_and_model, sample_weather, to_currency, from_currency, openrouter_api_key, openai_api_key, load_dotenv</t>
  </si>
  <si>
    <t xml:space="preserve">R-146</t>
  </si>
  <si>
    <t xml:space="preserve">_07_streamlit_app.py</t>
  </si>
  <si>
    <t xml:space="preserve">Weekend 02 - 4-5 Jul/04-05 - 5 Jul &amp; 11 Jul - Anatomy of an Agent &amp; The Agentic Loop/Project 0/_07_streamlit_app.py</t>
  </si>
  <si>
    <t xml:space="preserve">Streamlit front end for the Project Zero agent -- three tools, one chat UI.</t>
  </si>
  <si>
    <t xml:space="preserve">foundations:f3 (9), foundations:f4 (9), foundations:cheat (7)</t>
  </si>
  <si>
    <t xml:space="preserve">set_page_config, robot_face, page_title, page_icon, tool_function, chat_message, chat_input, user_input, get_client_and_model, sample_weather, ble001, allowed_characters</t>
  </si>
  <si>
    <t xml:space="preserve">R-147</t>
  </si>
  <si>
    <t xml:space="preserve">output</t>
  </si>
  <si>
    <t xml:space="preserve">Weekend 02 - 4-5 Jul/04-05 - 5 Jul &amp; 11 Jul - Anatomy of an Agent &amp; The Agentic Loop/Project 0/output</t>
  </si>
  <si>
    <t xml:space="preserve">R-148</t>
  </si>
  <si>
    <t xml:space="preserve">Weekend 02 - 4-5 Jul/04-05 - 5 Jul &amp; 11 Jul - Anatomy of an Agent &amp; The Agentic Loop/Project 0/pyproject.toml</t>
  </si>
  <si>
    <t xml:space="preserve">R-149</t>
  </si>
  <si>
    <t xml:space="preserve">Weekend 02 - 4-5 Jul/04-05 - 5 Jul &amp; 11 Jul - Anatomy of an Agent &amp; The Agentic Loop/README.md</t>
  </si>
  <si>
    <t xml:space="preserve">🤖 Class 04-05 — Anatomy of an Agent &amp; The Agentic Loop</t>
  </si>
  <si>
    <t xml:space="preserve">foundations:f4 (19), foundations:f3 (11), foundations:cheat (9)</t>
  </si>
  <si>
    <t xml:space="preserve">heading: giv manually reply structur, heading: choose lett model multi transcript, decide_tool, get_capital, chat_message, chat_input, answer_weather_question, ai_model, weatherquestion, user_input, extract_weather_question, get_client_and_model</t>
  </si>
  <si>
    <t xml:space="preserve">R-150</t>
  </si>
  <si>
    <t xml:space="preserve">Weekend 02 - 4-5 Jul/README.md</t>
  </si>
  <si>
    <t xml:space="preserve">🗓️ Weekend 02 — 4-5 Jul — Pydantic &amp; Anatomy of an Agent</t>
  </si>
  <si>
    <t xml:space="preserve">foundations:f1 (2), pydantic:p1 (2), pydantic:p2 (2)</t>
  </si>
  <si>
    <t xml:space="preserve">R-151</t>
  </si>
  <si>
    <t xml:space="preserve">Weekend 03 - 11-12 Jul</t>
  </si>
  <si>
    <t xml:space="preserve">Weekend 03 - 11-12 Jul/06 - 12 Jul - Introduction to LangChain/.env.example</t>
  </si>
  <si>
    <t xml:space="preserve">agentic-ai:ch1</t>
  </si>
  <si>
    <t xml:space="preserve">R-152</t>
  </si>
  <si>
    <t xml:space="preserve">Weekend 03 - 11-12 Jul/06 - 12 Jul - Introduction to LangChain/.gitignore</t>
  </si>
  <si>
    <t xml:space="preserve">R-153</t>
  </si>
  <si>
    <t xml:space="preserve">Weekend 03 - 11-12 Jul/06 - 12 Jul - Introduction to LangChain/.python-version</t>
  </si>
  <si>
    <t xml:space="preserve">R-154</t>
  </si>
  <si>
    <t xml:space="preserve">Agentic-Python.pdf</t>
  </si>
  <si>
    <t xml:space="preserve">Weekend 03 - 11-12 Jul/06 - 12 Jul - Introduction to LangChain/Agentic-Python.pdf</t>
  </si>
  <si>
    <t xml:space="preserve">foundations:f3, agentic-ai:ch1</t>
  </si>
  <si>
    <t xml:space="preserve">R-155</t>
  </si>
  <si>
    <t xml:space="preserve">Weekend 03 - 11-12 Jul/06 - 12 Jul - Introduction to LangChain/README.md</t>
  </si>
  <si>
    <t xml:space="preserve">🔗 Class 06 — LangChain Begins: From Raw Python to `create_agent()`</t>
  </si>
  <si>
    <t xml:space="preserve">agentic-ai:ch1 (14), agentic-ai:ch2 (10), agentic-ai:ch3 (6)</t>
  </si>
  <si>
    <t xml:space="preserve">agent_result</t>
  </si>
  <si>
    <t xml:space="preserve">R-156</t>
  </si>
  <si>
    <t xml:space="preserve">Untitled-scene.pdf</t>
  </si>
  <si>
    <t xml:space="preserve">Weekend 03 - 11-12 Jul/06 - 12 Jul - Introduction to LangChain/Untitled-scene.pdf</t>
  </si>
  <si>
    <t xml:space="preserve">R-157</t>
  </si>
  <si>
    <t xml:space="preserve">langchain_agents.py</t>
  </si>
  <si>
    <t xml:space="preserve">Weekend 03 - 11-12 Jul/06 - 12 Jul - Introduction to LangChain/langchain_agents.py</t>
  </si>
  <si>
    <t xml:space="preserve">Get weather for a given city.</t>
  </si>
  <si>
    <t xml:space="preserve">agentic-ai:ch1 (6), agentic-ai:ch2 (5), agentic-ai:ch3 (3)</t>
  </si>
  <si>
    <t xml:space="preserve">R-158</t>
  </si>
  <si>
    <t xml:space="preserve">langchain_basics.py</t>
  </si>
  <si>
    <t xml:space="preserve">Weekend 03 - 11-12 Jul/06 - 12 Jul - Introduction to LangChain/langchain_basics.py</t>
  </si>
  <si>
    <t xml:space="preserve">agentic-ai:ch1 (10), agentic-ai:ch2 (8), agentic-ai:cheat (5)</t>
  </si>
  <si>
    <t xml:space="preserve">how_you_computed_counts, agent_result</t>
  </si>
  <si>
    <t xml:space="preserve">R-159</t>
  </si>
  <si>
    <t xml:space="preserve">Weekend 03 - 11-12 Jul/06 - 12 Jul - Introduction to LangChain/main.py</t>
  </si>
  <si>
    <t xml:space="preserve">R-160</t>
  </si>
  <si>
    <t xml:space="preserve">Weekend 03 - 11-12 Jul/06 - 12 Jul - Introduction to LangChain/pyproject.toml</t>
  </si>
  <si>
    <t xml:space="preserve">R-161</t>
  </si>
  <si>
    <t xml:space="preserve">Weekend 03 - 11-12 Jul/06 - 12 Jul - Introduction to LangChain/uv.lock</t>
  </si>
  <si>
    <t xml:space="preserve">R-162</t>
  </si>
  <si>
    <t xml:space="preserve">Weekend 03 - 11-12 Jul/README.md</t>
  </si>
  <si>
    <t xml:space="preserve">🗓️ Weekend 03 — 11-12 Jul — The Agentic Loop &amp; LangChain Begins</t>
  </si>
  <si>
    <t xml:space="preserve">agentic-ai:ch1 (3), agentic-ai:ch10 (3), agentic-ai:ch18 (3)</t>
  </si>
  <si>
    <t xml:space="preserve">R-163</t>
  </si>
  <si>
    <t xml:space="preserve">Weekend 04 - 18-19 Jul</t>
  </si>
  <si>
    <t xml:space="preserve">Weekend 04 - 18-19 Jul/07-08 - 18-19 Jul - LangChain Family &amp; the Model Layer/Langchain Practical/langchain-course/.env.example</t>
  </si>
  <si>
    <t xml:space="preserve">agentic-ai:ch2, agentic-ai:ch3</t>
  </si>
  <si>
    <t xml:space="preserve">R-164</t>
  </si>
  <si>
    <t xml:space="preserve">Weekend 04 - 18-19 Jul/07-08 - 18-19 Jul - LangChain Family &amp; the Model Layer/Langchain Practical/langchain-course/.gitignore</t>
  </si>
  <si>
    <t xml:space="preserve">R-165</t>
  </si>
  <si>
    <t xml:space="preserve">Weekend 04 - 18-19 Jul/07-08 - 18-19 Jul - LangChain Family &amp; the Model Layer/Langchain Practical/langchain-course/.python-version</t>
  </si>
  <si>
    <t xml:space="preserve">R-166</t>
  </si>
  <si>
    <t xml:space="preserve">Common FAQs</t>
  </si>
  <si>
    <t xml:space="preserve">Weekend 04 - 18-19 Jul/07-08 - 18-19 Jul - LangChain Family &amp; the Model Layer/Langchain Practical/langchain-course/Learning/Part - 0 Overview/Common FAQs</t>
  </si>
  <si>
    <t xml:space="preserve">R-167</t>
  </si>
  <si>
    <t xml:space="preserve">commands.txt</t>
  </si>
  <si>
    <t xml:space="preserve">Weekend 04 - 18-19 Jul/07-08 - 18-19 Jul - LangChain Family &amp; the Model Layer/Langchain Practical/langchain-course/Learning/Part 1  - Environment Setup/commands.txt</t>
  </si>
  <si>
    <t xml:space="preserve">R-168</t>
  </si>
  <si>
    <t xml:space="preserve">setup_check.ipynb</t>
  </si>
  <si>
    <t xml:space="preserve">Weekend 04 - 18-19 Jul/07-08 - 18-19 Jul - LangChain Family &amp; the Model Layer/Langchain Practical/langchain-course/Learning/Part 1  - Environment Setup/setup_check.ipynb</t>
  </si>
  <si>
    <t xml:space="preserve">agentic-ai:ch1 (6), agentic-ai:ch2 (6), agentic-ai:ch3 (3)</t>
  </si>
  <si>
    <t xml:space="preserve">R-169</t>
  </si>
  <si>
    <t xml:space="preserve">Langchain (1).ipynb</t>
  </si>
  <si>
    <t xml:space="preserve">Weekend 04 - 18-19 Jul/07-08 - 18-19 Jul - LangChain Family &amp; the Model Layer/Langchain Practical/langchain-course/Learning/Part 2 - Models/Langchain (1).ipynb</t>
  </si>
  <si>
    <t xml:space="preserve">Models</t>
  </si>
  <si>
    <t xml:space="preserve">agentic-ai:ch3 (16), agentic-ai:ch2 (11), agentic-ai:ch1 (10)</t>
  </si>
  <si>
    <t xml:space="preserve">openai_model, model_with_structure, ai_msg, token_usage, system_fingerprint, service_tier, rejected_prediction_tokens, reasoning_tokens, prompt_tokens_details, lc_run, generate_content, gemini_api_key</t>
  </si>
  <si>
    <t xml:space="preserve">R-170</t>
  </si>
  <si>
    <t xml:space="preserve">Langchain - Colab.ipynb</t>
  </si>
  <si>
    <t xml:space="preserve">Weekend 04 - 18-19 Jul/07-08 - 18-19 Jul - LangChain Family &amp; the Model Layer/Langchain Practical/langchain-course/Learning/Part 2 - Models/Langchain - Colab.ipynb</t>
  </si>
  <si>
    <t xml:space="preserve">agentic-ai:ch3 (14), agentic-ai:ch2 (11), agentic-ai:ch1 (10)</t>
  </si>
  <si>
    <t xml:space="preserve">openai_model, token_usage, system_fingerprint, service_tier, rejected_prediction_tokens, reasoning_tokens, prompt_tokens_details, lc_run, generate_content, gemini_api_key, finish_reason, completion_tokens_details</t>
  </si>
  <si>
    <t xml:space="preserve">R-171</t>
  </si>
  <si>
    <t xml:space="preserve">messages.py</t>
  </si>
  <si>
    <t xml:space="preserve">Weekend 04 - 18-19 Jul/07-08 - 18-19 Jul - LangChain Family &amp; the Model Layer/Langchain Practical/langchain-course/Learning/Part 3  - Messages/messages.py</t>
  </si>
  <si>
    <t xml:space="preserve">R-172</t>
  </si>
  <si>
    <t xml:space="preserve">Weekend 04 - 18-19 Jul/07-08 - 18-19 Jul - LangChain Family &amp; the Model Layer/Langchain Practical/langchain-course/README.md</t>
  </si>
  <si>
    <t xml:space="preserve">LangChain Practical — `langchain-course`</t>
  </si>
  <si>
    <t xml:space="preserve">agentic-ai:ch11 (2), agentic-ai:ch20 (2), agentic-ai:ch3 (2)</t>
  </si>
  <si>
    <t xml:space="preserve">setup_check</t>
  </si>
  <si>
    <t xml:space="preserve">R-173</t>
  </si>
  <si>
    <t xml:space="preserve">Weekend 04 - 18-19 Jul/07-08 - 18-19 Jul - LangChain Family &amp; the Model Layer/Langchain Practical/langchain-course/main.py</t>
  </si>
  <si>
    <t xml:space="preserve">R-174</t>
  </si>
  <si>
    <t xml:space="preserve">Weekend 04 - 18-19 Jul/07-08 - 18-19 Jul - LangChain Family &amp; the Model Layer/Langchain Practical/langchain-course/pyproject.toml</t>
  </si>
  <si>
    <t xml:space="preserve">R-175</t>
  </si>
  <si>
    <t xml:space="preserve">Weekend 04 - 18-19 Jul/07-08 - 18-19 Jul - LangChain Family &amp; the Model Layer/Langchain Practical/langchain-course/requirements.txt</t>
  </si>
  <si>
    <t xml:space="preserve">R-176</t>
  </si>
  <si>
    <t xml:space="preserve">Weekend 04 - 18-19 Jul/07-08 - 18-19 Jul - LangChain Family &amp; the Model Layer/Langchain Practical/langchain-course/uv.lock</t>
  </si>
  <si>
    <t xml:space="preserve">R-177</t>
  </si>
  <si>
    <t xml:space="preserve">Langchain.pdf</t>
  </si>
  <si>
    <t xml:space="preserve">Weekend 04 - 18-19 Jul/07-08 - 18-19 Jul - LangChain Family &amp; the Model Layer/Langchain.pdf</t>
  </si>
  <si>
    <t xml:space="preserve">R-178</t>
  </si>
  <si>
    <t xml:space="preserve">01_landscape_student_notes.ipynb</t>
  </si>
  <si>
    <t xml:space="preserve">Weekend 04 - 18-19 Jul/07-08 - 18-19 Jul - LangChain Family &amp; the Model Layer/Notebook For Reference/01_landscape_student_notes.ipynb</t>
  </si>
  <si>
    <t xml:space="preserve">Part 1 — Understanding the LangChain Ecosystem</t>
  </si>
  <si>
    <t xml:space="preserve">agentic-ai:ch2 (15), agentic-ai:ch1 (13), agentic-ai:ch3 (6)</t>
  </si>
  <si>
    <t xml:space="preserve">heading: different fundamentally langsmith</t>
  </si>
  <si>
    <t xml:space="preserve">R-179</t>
  </si>
  <si>
    <t xml:space="preserve">02_03_environment_models_messages_student_notes.ipynb</t>
  </si>
  <si>
    <t xml:space="preserve">Weekend 04 - 18-19 Jul/07-08 - 18-19 Jul - LangChain Family &amp; the Model Layer/Notebook For Reference/02_03_environment_models_messages_student_notes.ipynb</t>
  </si>
  <si>
    <t xml:space="preserve">Parts 2 &amp; 3 — Environment Setup, and Understanding Models and Messages</t>
  </si>
  <si>
    <t xml:space="preserve">agentic-ai:ch3 (29), agentic-ai:ch2 (18), agentic-ai:ch1 (17)</t>
  </si>
  <si>
    <t xml:space="preserve">openai_model, heading: official prov quickstart, search_books, call_123, paid_model</t>
  </si>
  <si>
    <t xml:space="preserve">R-180</t>
  </si>
  <si>
    <t xml:space="preserve">04_05_prompt_templates_structured_output_student_notes.ipynb</t>
  </si>
  <si>
    <t xml:space="preserve">Weekend 04 - 18-19 Jul/07-08 - 18-19 Jul - LangChain Family &amp; the Model Layer/Notebook For Reference/04_05_prompt_templates_structured_output_student_notes.ipynb</t>
  </si>
  <si>
    <t xml:space="preserve">Parts 4 &amp; 5 — Prompt Templates and Structured Output</t>
  </si>
  <si>
    <t xml:space="preserve">agentic-ai:ch4 (26), agentic-ai:ch3 (14), agentic-ai:glossary (13)</t>
  </si>
  <si>
    <t xml:space="preserve">openai_model, heading: compose doesn, tool_strategy_model, test_msg, provider_strategy_model, needs_human, issue_category, fun_fact_prompt</t>
  </si>
  <si>
    <t xml:space="preserve">R-181</t>
  </si>
  <si>
    <t xml:space="preserve">Langchain_structured_output_tools_agents.ipynb</t>
  </si>
  <si>
    <t xml:space="preserve">Weekend 04 - 18-19 Jul/07-08 - 18-19 Jul - LangChain Family &amp; the Model Layer/Notebook For Reference/Langchain_structured_output_tools_agents.ipynb</t>
  </si>
  <si>
    <t xml:space="preserve">R-182</t>
  </si>
  <si>
    <t xml:space="preserve">Revision_Parts_1-4.ipynb</t>
  </si>
  <si>
    <t xml:space="preserve">Weekend 04 - 18-19 Jul/07-08 - 18-19 Jul - LangChain Family &amp; the Model Layer/Notebook For Reference/Revision_Parts_1-4.ipynb</t>
  </si>
  <si>
    <t xml:space="preserve">LangChain 2026 — Revision Notebook</t>
  </si>
  <si>
    <t xml:space="preserve">agentic-ai:ch3 (26), agentic-ai:ch2 (18), agentic-ai:ch1 (18)</t>
  </si>
  <si>
    <t xml:space="preserve">to_messages, heading: conversation multiple represent, heading: brac common curly single unescap, heading: official prov quickstart</t>
  </si>
  <si>
    <t xml:space="preserve">R-183</t>
  </si>
  <si>
    <t xml:space="preserve">Weekend 04 - 18-19 Jul/07-08 - 18-19 Jul - LangChain Family &amp; the Model Layer/README.md</t>
  </si>
  <si>
    <t xml:space="preserve">🚗 Class 07-08 — LangChain Family, Harness Engineering &amp; the Model Layer</t>
  </si>
  <si>
    <t xml:space="preserve">agentic-ai:ch3 (18), agentic-ai:ch2 (14), agentic-ai:ch4 (14)</t>
  </si>
  <si>
    <t xml:space="preserve">openai_model, issue_category, fun_fact_prompt</t>
  </si>
  <si>
    <t xml:space="preserve">R-184</t>
  </si>
  <si>
    <t xml:space="preserve">Weekend 04 - 18-19 Jul/README.md</t>
  </si>
  <si>
    <t xml:space="preserve">🗓️ Weekend 04 — 18-19 Jul — LangChain Family &amp; the Model Layer</t>
  </si>
  <si>
    <t xml:space="preserve">agentic-ai:ch2 (5), agentic-ai:ch4 (4), agentic-ai:cheat (4)</t>
  </si>
  <si>
    <t xml:space="preserve">R-185</t>
  </si>
  <si>
    <t xml:space="preserve">Weekend 05 - 25-26 Jul</t>
  </si>
  <si>
    <t xml:space="preserve">Assignment_LangChain_Fundamentals_Landscape_to_Tools.ipynb</t>
  </si>
  <si>
    <t xml:space="preserve">Weekend 05 - 25-26 Jul/09-10 - 25-26 Jul - Structured Output &amp; Tools (CineBot)/Assignment &amp; Questions/Assignment_LangChain_Fundamentals_Landscape_to_Tools.ipynb</t>
  </si>
  <si>
    <t xml:space="preserve">Assignment — LangChain Fundamentals</t>
  </si>
  <si>
    <t xml:space="preserve">agentic-ai:ch4 (13), agentic-ai:glossary (12), agentic-ai:cheat (9)</t>
  </si>
  <si>
    <t xml:space="preserve">foodorder, dish_name, place_order, orderinput, check_table_availability, restaurant_location, time_slot, spice_level, save_dietary_preference, reservationconfirmation, recall_dietary_preference, delivery_or_pickup</t>
  </si>
  <si>
    <t xml:space="preserve">R-186</t>
  </si>
  <si>
    <t xml:space="preserve">Assignment_LangChain_Fundamentals_SOLUTIONS.ipynb</t>
  </si>
  <si>
    <t xml:space="preserve">Weekend 05 - 25-26 Jul/09-10 - 25-26 Jul - Structured Output &amp; Tools (CineBot)/Assignment &amp; Questions/Assignment_LangChain_Fundamentals_SOLUTIONS.ipynb</t>
  </si>
  <si>
    <t xml:space="preserve">SOLUTIONS — Assignment: LangChain Fundamentals (Landscape through Tools)</t>
  </si>
  <si>
    <t xml:space="preserve">agentic-ai:ch6 (13), agentic-ai:ch4 (11), agentic-ai:cheat (11)</t>
  </si>
  <si>
    <t xml:space="preserve">check_table_availability, time_slot, book_table, dish_name, book_private_dining_room, reservationrequest, save_dietary_preference, recall_dietary_preference, is_premium, is_premium_member, tool_rt, strict_order_agent</t>
  </si>
  <si>
    <t xml:space="preserve">R-187</t>
  </si>
  <si>
    <t xml:space="preserve">LangChain_Interview_Questions_Researched.md.pdf</t>
  </si>
  <si>
    <t xml:space="preserve">Weekend 05 - 25-26 Jul/09-10 - 25-26 Jul - Structured Output &amp; Tools (CineBot)/Assignment &amp; Questions/LangChain_Interview_Questions_Researched.md.pdf</t>
  </si>
  <si>
    <t xml:space="preserve">agentic-ai:ch1, agentic-ai:ch2, agentic-ai:ch4</t>
  </si>
  <si>
    <t xml:space="preserve">R-188</t>
  </si>
  <si>
    <t xml:space="preserve">Student_Reference_Structured_Output_and_Tools.ipynb</t>
  </si>
  <si>
    <t xml:space="preserve">Weekend 05 - 25-26 Jul/09-10 - 25-26 Jul - Structured Output &amp; Tools (CineBot)/Assignment &amp; Questions/Student_Reference_Structured_Output_and_Tools.ipynb</t>
  </si>
  <si>
    <t xml:space="preserve">Student Reference — Structured Output and Tools</t>
  </si>
  <si>
    <t xml:space="preserve">agentic-ai:ch4 (23), agentic-ai:ch5 (17), agentic-ai:ch10 (15)</t>
  </si>
  <si>
    <t xml:space="preserve">heading: direct final model polish skipp, heading: compose doesn problem, heading: component known lesser toolruntime, heading: collision com problem, heading: bouncer structur</t>
  </si>
  <si>
    <t xml:space="preserve">R-189</t>
  </si>
  <si>
    <t xml:space="preserve">Langchain-2.pdf</t>
  </si>
  <si>
    <t xml:space="preserve">Weekend 05 - 25-26 Jul/09-10 - 25-26 Jul - Structured Output &amp; Tools (CineBot)/Langchain-2.pdf</t>
  </si>
  <si>
    <t xml:space="preserve">agentic-ai:ch4, agentic-ai:ch5</t>
  </si>
  <si>
    <t xml:space="preserve">R-190</t>
  </si>
  <si>
    <t xml:space="preserve">Langchain-Session-2.pdf</t>
  </si>
  <si>
    <t xml:space="preserve">Weekend 05 - 25-26 Jul/09-10 - 25-26 Jul - Structured Output &amp; Tools (CineBot)/Langchain-Session-2.pdf</t>
  </si>
  <si>
    <t xml:space="preserve">R-191</t>
  </si>
  <si>
    <t xml:space="preserve">Langchain-Tools.ipynb</t>
  </si>
  <si>
    <t xml:space="preserve">Weekend 05 - 25-26 Jul/09-10 - 25-26 Jul - Structured Output &amp; Tools (CineBot)/Langchain-Tools.ipynb</t>
  </si>
  <si>
    <t xml:space="preserve">R-192</t>
  </si>
  <si>
    <t xml:space="preserve">Langchain_Structured_OUTPUT_COLAB.ipynb</t>
  </si>
  <si>
    <t xml:space="preserve">Weekend 05 - 25-26 Jul/09-10 - 25-26 Jul - Structured Output &amp; Tools (CineBot)/Langchain_Structured_OUTPUT_COLAB.ipynb</t>
  </si>
  <si>
    <t xml:space="preserve">Structured Output, Tools &amp; Agents</t>
  </si>
  <si>
    <t xml:space="preserve">agentic-ai:ch4 (22), agentic-ai:cheat (11), agentic-ai:ch2 (10)</t>
  </si>
  <si>
    <t xml:space="preserve">seat_agent, model_3, union_agent, peek_showtimes, booking_requests, incomplete_model, provider_strategy_model, urgent, booking_agent</t>
  </si>
  <si>
    <t xml:space="preserve">R-193</t>
  </si>
  <si>
    <t xml:space="preserve">Langchain_Till_Agents.ipynb</t>
  </si>
  <si>
    <t xml:space="preserve">Weekend 05 - 25-26 Jul/09-10 - 25-26 Jul - Structured Output &amp; Tools (CineBot)/Langchain_Till_Agents.ipynb</t>
  </si>
  <si>
    <t xml:space="preserve">agentic-ai:cheat (12), agentic-ai:ch4 (11), agentic-ai:ch5 (10)</t>
  </si>
  <si>
    <t xml:space="preserve">pretty_print_chat, save_trip, get_saved_trips, get_real_weather, get_exact_refund_policy, tripmate_agent, tavily_search, cinebot_stateful, standard_booking, trip_id, rohan_01, gated_agent_with_middleware</t>
  </si>
  <si>
    <t xml:space="preserve">R-194</t>
  </si>
  <si>
    <t xml:space="preserve">Weekend 05 - 25-26 Jul/09-10 - 25-26 Jul - Structured Output &amp; Tools (CineBot)/README.md</t>
  </si>
  <si>
    <t xml:space="preserve">🎬 Class 09-10 — Structured Output &amp; Tools Deep Dive: Building CineBot</t>
  </si>
  <si>
    <t xml:space="preserve">agentic-ai:ch4 (17), agentic-ai:ch5 (13), agentic-ai:ch6 (10)</t>
  </si>
  <si>
    <t xml:space="preserve">heading: entirely gat, heading: build toward tripmate, langchain_till_agents, save_favourite_genre, urgent, seat_agent, booking_requests, fake_showtimes</t>
  </si>
  <si>
    <t xml:space="preserve">R-195</t>
  </si>
  <si>
    <t xml:space="preserve">Weekend 05 - 25-26 Jul/README.md</t>
  </si>
  <si>
    <t xml:space="preserve">🗓️ Weekend 05 — 25-26 Jul — Structured Output &amp; Tools (CineBot)</t>
  </si>
  <si>
    <t xml:space="preserve">agentic-ai:ch5 (3), agentic-ai:ch10 (2), agentic-ai:ch6 (2)</t>
  </si>
  <si>
    <t xml:space="preserve">R-196</t>
  </si>
  <si>
    <t xml:space="preserve">Weekend 06 - 1 Aug</t>
  </si>
  <si>
    <t xml:space="preserve">Agent-Middleware-Architecture.excalidraw</t>
  </si>
  <si>
    <t xml:space="preserve">Weekend 06 - 1 Aug/11-12 - 1-8 Aug - Agents, Memory &amp; Middleware/Agent-Middleware-Architecture.excalidraw</t>
  </si>
  <si>
    <t xml:space="preserve">agentic-ai:ch6</t>
  </si>
  <si>
    <t xml:space="preserve">R-197</t>
  </si>
  <si>
    <t xml:space="preserve">Agent-Middleware-Architecture.pdf</t>
  </si>
  <si>
    <t xml:space="preserve">Weekend 06 - 1 Aug/11-12 - 1-8 Aug - Agents, Memory &amp; Middleware/Agent-Middleware-Architecture.pdf</t>
  </si>
  <si>
    <t xml:space="preserve">R-198</t>
  </si>
  <si>
    <t xml:space="preserve">Assignment_2_Agents_and_Prebuilt_Middleware.ipynb</t>
  </si>
  <si>
    <t xml:space="preserve">Weekend 06 - 1 Aug/11-12 - 1-8 Aug - Agents, Memory &amp; Middleware/Assignment &amp; Questions/Assignment_2_Agents_and_Prebuilt_Middleware.ipynb</t>
  </si>
  <si>
    <t xml:space="preserve">Assignment 2 — Agents and Prebuilt Middleware</t>
  </si>
  <si>
    <t xml:space="preserve">agentic-ai:ch7 (18), agentic-ai:cheat (12), agentic-ai:ch2 (11)</t>
  </si>
  <si>
    <t xml:space="preserve">account_tier, heading: medium middleware prebuilt, to_account, get_interest_rate, check_live_balance, check_balance, account_id, connectionerror</t>
  </si>
  <si>
    <t xml:space="preserve">R-199</t>
  </si>
  <si>
    <t xml:space="preserve">Langchain-2-Updated.pdf</t>
  </si>
  <si>
    <t xml:space="preserve">Weekend 06 - 1 Aug/11-12 - 1-8 Aug - Agents, Memory &amp; Middleware/Langchain-2-Updated.pdf</t>
  </si>
  <si>
    <t xml:space="preserve">R-200</t>
  </si>
  <si>
    <t xml:space="preserve">MIddleware.ipynb</t>
  </si>
  <si>
    <t xml:space="preserve">Weekend 06 - 1 Aug/11-12 - 1-8 Aug - Agents, Memory &amp; Middleware/MIddleware.ipynb</t>
  </si>
  <si>
    <t xml:space="preserve">--- Core LangChain ---</t>
  </si>
  <si>
    <t xml:space="preserve">agentic-ai:ch8 (21), agentic-ai:ch7 (15), agentic-ai:ch10 (12)</t>
  </si>
  <si>
    <t xml:space="preserve">summarizing_agent, resilient_agent, result_invoke4, result_invoke3, save_trip_demo, run_interactive_hitl_demo, pretty_print_messages, flaky_showtime_check_time, check_order_status, your_send_email_tool, resumed_result</t>
  </si>
  <si>
    <t xml:space="preserve">R-201</t>
  </si>
  <si>
    <t xml:space="preserve">Middleware-Architecture-Sketch.ipynb</t>
  </si>
  <si>
    <t xml:space="preserve">Weekend 06 - 1 Aug/11-12 - 1-8 Aug - Agents, Memory &amp; Middleware/Middleware-Architecture-Sketch.ipynb</t>
  </si>
  <si>
    <t xml:space="preserve">R-202</t>
  </si>
  <si>
    <t xml:space="preserve">Weekend 06 - 1 Aug/11-12 - 1-8 Aug - Agents, Memory &amp; Middleware/README.md</t>
  </si>
  <si>
    <t xml:space="preserve">🧵 Class 11-12 — Agents, Memory &amp; Middleware Mastery</t>
  </si>
  <si>
    <t xml:space="preserve">agentic-ai:ch8 (23), agentic-ai:ch7 (22), agentic-ai:ch10 (14)</t>
  </si>
  <si>
    <t xml:space="preserve">heading: straight whiteboard, your_send_email_tool, resumed_result, connectionerror</t>
  </si>
  <si>
    <t xml:space="preserve">R-203</t>
  </si>
  <si>
    <t xml:space="preserve">Weekend 06 - 1 Aug/README.md</t>
  </si>
  <si>
    <t xml:space="preserve">🗓️ Weekend 06 — 1 Aug — Agents, Memory &amp; Middleware (Part 1)</t>
  </si>
  <si>
    <t xml:space="preserve">R-204</t>
  </si>
  <si>
    <t xml:space="preserve">Weekend 07 - 8-9 Aug</t>
  </si>
  <si>
    <t xml:space="preserve">Weekend 07 - 8-9 Aug/Agent-Middleware-Architecture.excalidraw</t>
  </si>
  <si>
    <t xml:space="preserve">agentic-ai:ch7</t>
  </si>
  <si>
    <t xml:space="preserve">R-205</t>
  </si>
  <si>
    <t xml:space="preserve">Weekend 07 - 8-9 Aug/Agent-Middleware-Architecture.pdf</t>
  </si>
  <si>
    <t xml:space="preserve">R-206</t>
  </si>
  <si>
    <t xml:space="preserve">Agent-Middleware-Architecture.png</t>
  </si>
  <si>
    <t xml:space="preserve">Weekend 07 - 8-9 Aug/Agent-Middleware-Architecture.png</t>
  </si>
  <si>
    <t xml:space="preserve">image or binary</t>
  </si>
  <si>
    <t xml:space="preserve">R-207</t>
  </si>
  <si>
    <t xml:space="preserve">Weekend 07 - 8-9 Aug/MIddleware.ipynb</t>
  </si>
  <si>
    <t xml:space="preserve">R-208</t>
  </si>
  <si>
    <t xml:space="preserve">Weekend 07 - 8-9 Aug/README.md</t>
  </si>
  <si>
    <t xml:space="preserve">🗓️ Weekend 07 — 8-9 Aug — Mastering Middleware &amp; Guardrails</t>
  </si>
  <si>
    <t xml:space="preserve">agentic-ai:ch7 (3), agentic-ai:ch8 (3), agentic-ai:ch2 (2)</t>
  </si>
  <si>
    <t xml:space="preserve">R-209</t>
  </si>
  <si>
    <t xml:space="preserve">Weekend 08 - 15-16 Aug</t>
  </si>
  <si>
    <t xml:space="preserve">Weekend 08 - 15-16 Aug/README.md</t>
  </si>
  <si>
    <t xml:space="preserve">🗓️ Weekend 08 — 15-16 Aug — Shell Tools &amp; Custom Middleware</t>
  </si>
  <si>
    <t xml:space="preserve">agentic-ai:ch9 (8), agentic-ai:home (7), agentic-ai:glossary (7)</t>
  </si>
  <si>
    <t xml:space="preserve">R-210</t>
  </si>
  <si>
    <t xml:space="preserve">Weekend 09 - 22-23 Aug</t>
  </si>
  <si>
    <t xml:space="preserve">Weekend 09 - 22-23 Aug/22nd Aug - Runtime &amp; HITL/README.md</t>
  </si>
  <si>
    <t xml:space="preserve">🧠 Class 15 — Runtime Deep Dive &amp; Human-in-the-Loop</t>
  </si>
  <si>
    <t xml:space="preserve">agentic-ai:ch10 (7), agentic-ai:ch7 (3), agentic-ai:ch9 (3)</t>
  </si>
  <si>
    <t xml:space="preserve">R-211</t>
  </si>
  <si>
    <t xml:space="preserve">Runtime-HITL.excalidraw</t>
  </si>
  <si>
    <t xml:space="preserve">Weekend 09 - 22-23 Aug/22nd Aug - Runtime &amp; HITL/Runtime-HITL.excalidraw</t>
  </si>
  <si>
    <t xml:space="preserve">agentic-ai:ch10</t>
  </si>
  <si>
    <t xml:space="preserve">R-212</t>
  </si>
  <si>
    <t xml:space="preserve">Runtime-HITL.pdf</t>
  </si>
  <si>
    <t xml:space="preserve">Weekend 09 - 22-23 Aug/22nd Aug - Runtime &amp; HITL/Runtime-HITL.pdf</t>
  </si>
  <si>
    <t xml:space="preserve">R-213</t>
  </si>
  <si>
    <t xml:space="preserve">Runtime_and_HITL.ipynb</t>
  </si>
  <si>
    <t xml:space="preserve">Weekend 09 - 22-23 Aug/22nd Aug - Runtime &amp; HITL/Runtime_and_HITL.ipynb</t>
  </si>
  <si>
    <t xml:space="preserve">Runtime</t>
  </si>
  <si>
    <t xml:space="preserve">agentic-ai:ch10 (28), agentic-ai:ch9 (10), agentic-ai:cheat (10)</t>
  </si>
  <si>
    <t xml:space="preserve">config_ask, wrap_style_agent, r_small, r_large, dynamic_greeting_prompt, user_specific_instructions, resumed_reject, resumed_agent_respond</t>
  </si>
  <si>
    <t xml:space="preserve">R-214</t>
  </si>
  <si>
    <t xml:space="preserve">Weekend 09 - 22-23 Aug/23rd Aug - MCP/Complete MCP/Commands.txt</t>
  </si>
  <si>
    <t xml:space="preserve">R-215</t>
  </si>
  <si>
    <t xml:space="preserve">Complete-MCP.pdf</t>
  </si>
  <si>
    <t xml:space="preserve">Weekend 09 - 22-23 Aug/23rd Aug - MCP/Complete MCP/Complete-MCP.pdf</t>
  </si>
  <si>
    <t xml:space="preserve">agentic-ai:ch11</t>
  </si>
  <si>
    <t xml:space="preserve">R-216</t>
  </si>
  <si>
    <t xml:space="preserve">Weekend 09 - 22-23 Aug/23rd Aug - MCP/Complete MCP/Why MCP Had to Exist.txt</t>
  </si>
  <si>
    <t xml:space="preserve">R-217</t>
  </si>
  <si>
    <t xml:space="preserve">Weekend 09 - 22-23 Aug/23rd Aug - MCP/Complete MCP/mcp-warmup/.gitignore</t>
  </si>
  <si>
    <t xml:space="preserve">R-218</t>
  </si>
  <si>
    <t xml:space="preserve">Weekend 09 - 22-23 Aug/23rd Aug - MCP/Complete MCP/mcp-warmup/.python-version</t>
  </si>
  <si>
    <t xml:space="preserve">R-219</t>
  </si>
  <si>
    <t xml:space="preserve">Weekend 09 - 22-23 Aug/23rd Aug - MCP/Complete MCP/mcp-warmup/README.md</t>
  </si>
  <si>
    <t xml:space="preserve">R-220</t>
  </si>
  <si>
    <t xml:space="preserve">Weekend 09 - 22-23 Aug/23rd Aug - MCP/Complete MCP/mcp-warmup/pyproject.toml</t>
  </si>
  <si>
    <t xml:space="preserve">R-221</t>
  </si>
  <si>
    <t xml:space="preserve">Weekend 09 - 22-23 Aug/23rd Aug - MCP/Complete MCP/mcp-warmup/server.py</t>
  </si>
  <si>
    <t xml:space="preserve">R-222</t>
  </si>
  <si>
    <t xml:space="preserve">Weekend 09 - 22-23 Aug/23rd Aug - MCP/Complete MCP/mcp-warmup/src/mcp_warmup/__init__.py</t>
  </si>
  <si>
    <t xml:space="preserve">R-223</t>
  </si>
  <si>
    <t xml:space="preserve">Weekend 09 - 22-23 Aug/23rd Aug - MCP/Complete MCP/mcp-warmup/uv.lock</t>
  </si>
  <si>
    <t xml:space="preserve">R-224</t>
  </si>
  <si>
    <t xml:space="preserve">Weekend 09 - 22-23 Aug/23rd Aug - MCP/Complete MCP/p2_MCP_Architecture.ipynb</t>
  </si>
  <si>
    <t xml:space="preserve">R-225</t>
  </si>
  <si>
    <t xml:space="preserve">Weekend 09 - 22-23 Aug/23rd Aug - MCP/README.md</t>
  </si>
  <si>
    <t xml:space="preserve">🔌 Class 16 — MCP 1: Why MCP Had to Exist</t>
  </si>
  <si>
    <t xml:space="preserve">agentic-ai:ch11 (3), agentic-ai:ch13 (2), agentic-ai:ch15 (2)</t>
  </si>
  <si>
    <t xml:space="preserve">R-226</t>
  </si>
  <si>
    <t xml:space="preserve">Weekend 09 - 22-23 Aug/README.md</t>
  </si>
  <si>
    <t xml:space="preserve">🗓️ Weekend 09 — 22-23 Aug — Runtime, HITL &amp; MCP Begins</t>
  </si>
  <si>
    <t xml:space="preserve">agentic-ai:ch10 (3), agentic-ai:ch18 (3), agentic-ai:ch7 (3)</t>
  </si>
  <si>
    <t xml:space="preserve">R-227</t>
  </si>
  <si>
    <t xml:space="preserve">Weekend 10 - 5-6 Sep</t>
  </si>
  <si>
    <t xml:space="preserve">AI-Updater-Project.pdf</t>
  </si>
  <si>
    <t xml:space="preserve">Weekend 10 - 5-6 Sep/06 Sep - MCP Primitives &amp; Architecture/AI-Updater-Project.pdf</t>
  </si>
  <si>
    <t xml:space="preserve">agentic-ai:ch12, agentic-ai:ch13</t>
  </si>
  <si>
    <t xml:space="preserve">R-228</t>
  </si>
  <si>
    <t xml:space="preserve">Link.txt</t>
  </si>
  <si>
    <t xml:space="preserve">Weekend 10 - 5-6 Sep/06 Sep - MCP Primitives &amp; Architecture/Link.txt</t>
  </si>
  <si>
    <t xml:space="preserve">R-229</t>
  </si>
  <si>
    <t xml:space="preserve">MCP-Lifecycle.pdf</t>
  </si>
  <si>
    <t xml:space="preserve">Weekend 10 - 5-6 Sep/06 Sep - MCP Primitives &amp; Architecture/MCP-Lifecycle.pdf</t>
  </si>
  <si>
    <t xml:space="preserve">R-230</t>
  </si>
  <si>
    <t xml:space="preserve">MCP-Primitives.pdf</t>
  </si>
  <si>
    <t xml:space="preserve">Weekend 10 - 5-6 Sep/06 Sep - MCP Primitives &amp; Architecture/MCP-Primitives.pdf</t>
  </si>
  <si>
    <t xml:space="preserve">R-231</t>
  </si>
  <si>
    <t xml:space="preserve">Weekend 10 - 5-6 Sep/06 Sep - MCP Primitives &amp; Architecture/README.md</t>
  </si>
  <si>
    <t xml:space="preserve">🔍 Class 17 — MCP Primitives, Architecture Recap &amp; the Wiretap</t>
  </si>
  <si>
    <t xml:space="preserve">agentic-ai:ch13 (4), agentic-ai:ch15 (4), agentic-ai:ch11 (3)</t>
  </si>
  <si>
    <t xml:space="preserve">mcp_wiretap_no_color</t>
  </si>
  <si>
    <t xml:space="preserve">R-232</t>
  </si>
  <si>
    <t xml:space="preserve">claude_desktop_config.example.json</t>
  </si>
  <si>
    <t xml:space="preserve">Weekend 10 - 5-6 Sep/06 Sep - MCP Primitives &amp; Architecture/claude_desktop_config.example.json</t>
  </si>
  <si>
    <t xml:space="preserve">R-233</t>
  </si>
  <si>
    <t xml:space="preserve">Weekend 10 - 5-6 Sep/06 Sep - MCP Primitives &amp; Architecture/mcp_wiretap.py</t>
  </si>
  <si>
    <t xml:space="preserve">R-234</t>
  </si>
  <si>
    <t xml:space="preserve">Weekend 10 - 5-6 Sep/06 Sep - MCP Primitives &amp; Architecture/mcp_wiretap_no_color.py</t>
  </si>
  <si>
    <t xml:space="preserve">R-235</t>
  </si>
  <si>
    <t xml:space="preserve">v4a_primitives_notebook.ipynb</t>
  </si>
  <si>
    <t xml:space="preserve">Weekend 10 - 5-6 Sep/06 Sep - MCP Primitives &amp; Architecture/v4a_primitives_notebook.ipynb</t>
  </si>
  <si>
    <t xml:space="preserve">R-236</t>
  </si>
  <si>
    <t xml:space="preserve">Weekend 10 - 5-6 Sep/README.md</t>
  </si>
  <si>
    <t xml:space="preserve">🗓️ Weekend 10 — 5-6 Sep — MCP Primitives, Architecture &amp; the Wiretap</t>
  </si>
  <si>
    <t xml:space="preserve">R-237</t>
  </si>
  <si>
    <t xml:space="preserve">Weekend 11 - 12-13 Sep</t>
  </si>
  <si>
    <t xml:space="preserve">Weekend 11 - 12-13 Sep/12-13 Sep - Building &amp; Deploying MCP Servers/MCP-Precoded/README.md</t>
  </si>
  <si>
    <t xml:space="preserve">R-238</t>
  </si>
  <si>
    <t xml:space="preserve">Weekend 11 - 12-13 Sep/12-13 Sep - Building &amp; Deploying MCP Servers/MCP-Precoded/recipebox_fastmcp.py</t>
  </si>
  <si>
    <t xml:space="preserve">R-239</t>
  </si>
  <si>
    <t xml:space="preserve">Weekend 11 - 12-13 Sep/12-13 Sep - Building &amp; Deploying MCP Servers/MCP-Precoded/recipebox_lowlevel.py</t>
  </si>
  <si>
    <t xml:space="preserve">R-240</t>
  </si>
  <si>
    <t xml:space="preserve">Weekend 11 - 12-13 Sep/12-13 Sep - Building &amp; Deploying MCP Servers/README.md</t>
  </si>
  <si>
    <t xml:space="preserve">🛠️ Class 18 — Building &amp; Deploying Real MCP Servers</t>
  </si>
  <si>
    <t xml:space="preserve">agentic-ai:ch15 (5), agentic-ai:ch16 (5), agentic-ai:ch17 (3)</t>
  </si>
  <si>
    <t xml:space="preserve">heading: either recipebox version</t>
  </si>
  <si>
    <t xml:space="preserve">R-241</t>
  </si>
  <si>
    <t xml:space="preserve">Weekend 11 - 12-13 Sep/12-13 Sep - Building &amp; Deploying MCP Servers/TimeTrackProject/timetrack/.python-version</t>
  </si>
  <si>
    <t xml:space="preserve">agentic-ai:ch14</t>
  </si>
  <si>
    <t xml:space="preserve">R-242</t>
  </si>
  <si>
    <t xml:space="preserve">Weekend 11 - 12-13 Sep/12-13 Sep - Building &amp; Deploying MCP Servers/TimeTrackProject/timetrack/README.md</t>
  </si>
  <si>
    <t xml:space="preserve">R-243</t>
  </si>
  <si>
    <t xml:space="preserve">Weekend 11 - 12-13 Sep/12-13 Sep - Building &amp; Deploying MCP Servers/TimeTrackProject/timetrack/database.py</t>
  </si>
  <si>
    <t xml:space="preserve">R-244</t>
  </si>
  <si>
    <t xml:space="preserve">Weekend 11 - 12-13 Sep/12-13 Sep - Building &amp; Deploying MCP Servers/TimeTrackProject/timetrack/main.py</t>
  </si>
  <si>
    <t xml:space="preserve">R-245</t>
  </si>
  <si>
    <t xml:space="preserve">Weekend 11 - 12-13 Sep/12-13 Sep - Building &amp; Deploying MCP Servers/TimeTrackProject/timetrack/main_to_understand.py</t>
  </si>
  <si>
    <t xml:space="preserve">R-246</t>
  </si>
  <si>
    <t xml:space="preserve">Weekend 11 - 12-13 Sep/12-13 Sep - Building &amp; Deploying MCP Servers/TimeTrackProject/timetrack/pyproject.toml</t>
  </si>
  <si>
    <t xml:space="preserve">R-247</t>
  </si>
  <si>
    <t xml:space="preserve">Weekend 11 - 12-13 Sep/12-13 Sep - Building &amp; Deploying MCP Servers/TimeTrackProject/timetrack/static/app.js</t>
  </si>
  <si>
    <t xml:space="preserve">R-248</t>
  </si>
  <si>
    <t xml:space="preserve">Weekend 11 - 12-13 Sep/12-13 Sep - Building &amp; Deploying MCP Servers/TimeTrackProject/timetrack/static/index.html</t>
  </si>
  <si>
    <t xml:space="preserve">R-249</t>
  </si>
  <si>
    <t xml:space="preserve">Weekend 11 - 12-13 Sep/12-13 Sep - Building &amp; Deploying MCP Servers/TimeTrackProject/timetrack/static/style.css</t>
  </si>
  <si>
    <t xml:space="preserve">R-250</t>
  </si>
  <si>
    <t xml:space="preserve">Weekend 11 - 12-13 Sep/12-13 Sep - Building &amp; Deploying MCP Servers/TimeTrackProject/timetrack/timetrack.db</t>
  </si>
  <si>
    <t xml:space="preserve">R-251</t>
  </si>
  <si>
    <t xml:space="preserve">Weekend 11 - 12-13 Sep/12-13 Sep - Building &amp; Deploying MCP Servers/TimeTrackProject/timetrack/uv.lock</t>
  </si>
  <si>
    <t xml:space="preserve">R-252</t>
  </si>
  <si>
    <t xml:space="preserve">Weekend 11 - 12-13 Sep/12-13 Sep - Building &amp; Deploying MCP Servers/TimeTrackProject/timetrack_notebook.ipynb</t>
  </si>
  <si>
    <t xml:space="preserve">R-253</t>
  </si>
  <si>
    <t xml:space="preserve">Weekend 11 - 12-13 Sep/12-13 Sep - Building &amp; Deploying MCP Servers/first-mcp-server/.python-version</t>
  </si>
  <si>
    <t xml:space="preserve">R-254</t>
  </si>
  <si>
    <t xml:space="preserve">Weekend 11 - 12-13 Sep/12-13 Sep - Building &amp; Deploying MCP Servers/first-mcp-server/README.md</t>
  </si>
  <si>
    <t xml:space="preserve">R-255</t>
  </si>
  <si>
    <t xml:space="preserve">Weekend 11 - 12-13 Sep/12-13 Sep - Building &amp; Deploying MCP Servers/first-mcp-server/Untitled-1.json</t>
  </si>
  <si>
    <t xml:space="preserve">R-256</t>
  </si>
  <si>
    <t xml:space="preserve">Weekend 11 - 12-13 Sep/12-13 Sep - Building &amp; Deploying MCP Servers/first-mcp-server/main.py</t>
  </si>
  <si>
    <t xml:space="preserve">R-257</t>
  </si>
  <si>
    <t xml:space="preserve">Weekend 11 - 12-13 Sep/12-13 Sep - Building &amp; Deploying MCP Servers/first-mcp-server/pyproject.toml</t>
  </si>
  <si>
    <t xml:space="preserve">R-258</t>
  </si>
  <si>
    <t xml:space="preserve">Weekend 11 - 12-13 Sep/12-13 Sep - Building &amp; Deploying MCP Servers/first-mcp-server/recipebox_fastmcp.py</t>
  </si>
  <si>
    <t xml:space="preserve">R-259</t>
  </si>
  <si>
    <t xml:space="preserve">Weekend 11 - 12-13 Sep/12-13 Sep - Building &amp; Deploying MCP Servers/first-mcp-server/recipebox_lowlevel.py</t>
  </si>
  <si>
    <t xml:space="preserve">R-260</t>
  </si>
  <si>
    <t xml:space="preserve">Weekend 11 - 12-13 Sep/12-13 Sep - Building &amp; Deploying MCP Servers/first-mcp-server/uv.lock</t>
  </si>
  <si>
    <t xml:space="preserve">R-261</t>
  </si>
  <si>
    <t xml:space="preserve">Weekend 11 - 12-13 Sep/12-13 Sep - Building &amp; Deploying MCP Servers/mcp-warmup-primitives/.gitignore</t>
  </si>
  <si>
    <t xml:space="preserve">R-262</t>
  </si>
  <si>
    <t xml:space="preserve">Weekend 11 - 12-13 Sep/12-13 Sep - Building &amp; Deploying MCP Servers/mcp-warmup-primitives/.python-version</t>
  </si>
  <si>
    <t xml:space="preserve">R-263</t>
  </si>
  <si>
    <t xml:space="preserve">Weekend 11 - 12-13 Sep/12-13 Sep - Building &amp; Deploying MCP Servers/mcp-warmup-primitives/README.md</t>
  </si>
  <si>
    <t xml:space="preserve">R-264</t>
  </si>
  <si>
    <t xml:space="preserve">Weekend 11 - 12-13 Sep/12-13 Sep - Building &amp; Deploying MCP Servers/mcp-warmup-primitives/mcp_server_with_primitives.py</t>
  </si>
  <si>
    <t xml:space="preserve">R-265</t>
  </si>
  <si>
    <t xml:space="preserve">Weekend 11 - 12-13 Sep/12-13 Sep - Building &amp; Deploying MCP Servers/mcp-warmup-primitives/pyproject.toml</t>
  </si>
  <si>
    <t xml:space="preserve">R-266</t>
  </si>
  <si>
    <t xml:space="preserve">Weekend 11 - 12-13 Sep/12-13 Sep - Building &amp; Deploying MCP Servers/mcp-warmup-primitives/server.py</t>
  </si>
  <si>
    <t xml:space="preserve">R-267</t>
  </si>
  <si>
    <t xml:space="preserve">Weekend 11 - 12-13 Sep/12-13 Sep - Building &amp; Deploying MCP Servers/mcp-warmup-primitives/server_with_auth.py</t>
  </si>
  <si>
    <t xml:space="preserve">R-268</t>
  </si>
  <si>
    <t xml:space="preserve">Weekend 11 - 12-13 Sep/12-13 Sep - Building &amp; Deploying MCP Servers/mcp-warmup-primitives/src/mcp_warmup/__init__.py</t>
  </si>
  <si>
    <t xml:space="preserve">R-269</t>
  </si>
  <si>
    <t xml:space="preserve">Weekend 11 - 12-13 Sep/12-13 Sep - Building &amp; Deploying MCP Servers/mcp-warmup-primitives/uv.lock</t>
  </si>
  <si>
    <t xml:space="preserve">R-270</t>
  </si>
  <si>
    <t xml:space="preserve">Weekend 11 - 12-13 Sep/README.md</t>
  </si>
  <si>
    <t xml:space="preserve">🗓️ Weekend 11 — 12-13 Sep — Building &amp; Deploying Real MCP Servers</t>
  </si>
  <si>
    <t xml:space="preserve">R-271</t>
  </si>
  <si>
    <t xml:space="preserve">Weekend 13 - 27th Sep</t>
  </si>
  <si>
    <t xml:space="preserve">Weekend 13 - 27th Sep/.python-version</t>
  </si>
  <si>
    <t xml:space="preserve">R-272</t>
  </si>
  <si>
    <t xml:space="preserve">Langchain MCP.ipynb</t>
  </si>
  <si>
    <t xml:space="preserve">Weekend 13 - 27th Sep/Langchain MCP.ipynb</t>
  </si>
  <si>
    <t xml:space="preserve">MCP is clear to us in very much Depth</t>
  </si>
  <si>
    <t xml:space="preserve">agentic-ai:ch18</t>
  </si>
  <si>
    <t xml:space="preserve">R-273</t>
  </si>
  <si>
    <t xml:space="preserve">Weekend 13 - 27th Sep/README.md</t>
  </si>
  <si>
    <t xml:space="preserve">R-274</t>
  </si>
  <si>
    <t xml:space="preserve">langchain.py</t>
  </si>
  <si>
    <t xml:space="preserve">Weekend 13 - 27th Sep/langchain.py</t>
  </si>
  <si>
    <t xml:space="preserve">agentic-ai:ch18 (3), agentic-ai:ch16 (3), agentic-ai:ch1 (2)</t>
  </si>
  <si>
    <t xml:space="preserve">R-275</t>
  </si>
  <si>
    <t xml:space="preserve">Weekend 13 - 27th Sep/main.py</t>
  </si>
  <si>
    <t xml:space="preserve">R-276</t>
  </si>
  <si>
    <t xml:space="preserve">Weekend 13 - 27th Sep/pyproject.toml</t>
  </si>
  <si>
    <t xml:space="preserve">R-277</t>
  </si>
  <si>
    <t xml:space="preserve">Weekend 13 - 27th Sep/uv.lock</t>
  </si>
  <si>
    <t xml:space="preserve">R-278</t>
  </si>
  <si>
    <t xml:space="preserve">Weekend 14 - Oct 3 &amp; Oct 4</t>
  </si>
  <si>
    <t xml:space="preserve">Weekend 14 - Oct 3 &amp; Oct 4/MCP in Langchain/.gitignore</t>
  </si>
  <si>
    <t xml:space="preserve">R-279</t>
  </si>
  <si>
    <t xml:space="preserve">MCP_MultiServer_Live_Demo.ipynb</t>
  </si>
  <si>
    <t xml:space="preserve">Weekend 14 - Oct 3 &amp; Oct 4/MCP in Langchain/MCP_MultiServer_Live_Demo.ipynb</t>
  </si>
  <si>
    <t xml:space="preserve">Live Multi-Server MCP Demo (VS Code + uv)</t>
  </si>
  <si>
    <t xml:space="preserve">agentic-ai:ch18 (18), agentic-ai:ch16 (10), agentic-ai:ch14 (7)</t>
  </si>
  <si>
    <t xml:space="preserve">all_tools, server_status, timetrack_url, langchainbetawarning, context7_api_key, openai_api_key, fake_showtimes, load_dotenv</t>
  </si>
  <si>
    <t xml:space="preserve">R-280</t>
  </si>
  <si>
    <t xml:space="preserve">MCP_in_Langchain.ipynb</t>
  </si>
  <si>
    <t xml:space="preserve">Weekend 14 - Oct 3 &amp; Oct 4/MCP in Langchain/MCP_in_Langchain.ipynb</t>
  </si>
  <si>
    <t xml:space="preserve">MCP Adapter in LangChain</t>
  </si>
  <si>
    <t xml:space="preserve">agentic-ai:ch18 (32), agentic-ai:ch16 (4), agentic-ai:ch11 (2)</t>
  </si>
  <si>
    <t xml:space="preserve">mcp_adapter, tool_call_result, cinebot_mcp_transport, fleet_config, error_message_global, auth_token, verify_token, tokenverifier</t>
  </si>
  <si>
    <t xml:space="preserve">R-281</t>
  </si>
  <si>
    <t xml:space="preserve">cinebot_elicit_server.log</t>
  </si>
  <si>
    <t xml:space="preserve">Weekend 14 - Oct 3 &amp; Oct 4/MCP in Langchain/cinebot_elicit_server.log</t>
  </si>
  <si>
    <t xml:space="preserve">R-282</t>
  </si>
  <si>
    <t xml:space="preserve">cinebot_elicit_server.py</t>
  </si>
  <si>
    <t xml:space="preserve">Weekend 14 - Oct 3 &amp; Oct 4/MCP in Langchain/cinebot_elicit_server.py</t>
  </si>
  <si>
    <t xml:space="preserve">agentic-ai:ch18 (4), agentic-ai:ch17 (2), agentic-ai:ch16 (2)</t>
  </si>
  <si>
    <t xml:space="preserve">R-283</t>
  </si>
  <si>
    <t xml:space="preserve">cinebot_error_server.log</t>
  </si>
  <si>
    <t xml:space="preserve">Weekend 14 - Oct 3 &amp; Oct 4/MCP in Langchain/cinebot_error_server.log</t>
  </si>
  <si>
    <t xml:space="preserve">R-284</t>
  </si>
  <si>
    <t xml:space="preserve">cinebot_error_server.py</t>
  </si>
  <si>
    <t xml:space="preserve">Weekend 14 - Oct 3 &amp; Oct 4/MCP in Langchain/cinebot_error_server.py</t>
  </si>
  <si>
    <t xml:space="preserve">R-285</t>
  </si>
  <si>
    <t xml:space="preserve">cinebot_mcp_server.log</t>
  </si>
  <si>
    <t xml:space="preserve">Weekend 14 - Oct 3 &amp; Oct 4/MCP in Langchain/cinebot_mcp_server.log</t>
  </si>
  <si>
    <t xml:space="preserve">R-286</t>
  </si>
  <si>
    <t xml:space="preserve">cinebot_mcp_server.py</t>
  </si>
  <si>
    <t xml:space="preserve">Weekend 14 - Oct 3 &amp; Oct 4/MCP in Langchain/cinebot_mcp_server.py</t>
  </si>
  <si>
    <t xml:space="preserve">agentic-ai:ch18 (3)</t>
  </si>
  <si>
    <t xml:space="preserve">fake_showtimes</t>
  </si>
  <si>
    <t xml:space="preserve">R-287</t>
  </si>
  <si>
    <t xml:space="preserve">Weekend 14 - Oct 3 &amp; Oct 4/MCP in Langchain/pyproject.toml</t>
  </si>
  <si>
    <t xml:space="preserve">R-288</t>
  </si>
  <si>
    <t xml:space="preserve">Weekend 14 - Oct 3 &amp; Oct 4/MCP in Langchain/uv.lock</t>
  </si>
  <si>
    <t xml:space="preserve">R-289</t>
  </si>
  <si>
    <t xml:space="preserve">Weekend 14 - Oct 3 &amp; Oct 4/Multi Agents in Langchain/.gitignore</t>
  </si>
  <si>
    <t xml:space="preserve">agentic-ai:ch19</t>
  </si>
  <si>
    <t xml:space="preserve">R-290</t>
  </si>
  <si>
    <t xml:space="preserve">00_Multi_Agent_Overview.ipynb</t>
  </si>
  <si>
    <t xml:space="preserve">Weekend 14 - Oct 3 &amp; Oct 4/Multi Agents in Langchain/00_Multi_Agent_Overview.ipynb</t>
  </si>
  <si>
    <t xml:space="preserve">Multi-Agent Systems in LangChain v1</t>
  </si>
  <si>
    <t xml:space="preserve">agentic-ai:ch19 (14), agentic-ai:ch1 (8), agentic-ai:ch2 (7)</t>
  </si>
  <si>
    <t xml:space="preserve">runtimeerror</t>
  </si>
  <si>
    <t xml:space="preserve">R-291</t>
  </si>
  <si>
    <t xml:space="preserve">01_Subagents_Personal_Assistant.ipynb</t>
  </si>
  <si>
    <t xml:space="preserve">Weekend 14 - Oct 3 &amp; Oct 4/Multi Agents in Langchain/01_Subagents_Personal_Assistant.ipynb</t>
  </si>
  <si>
    <t xml:space="preserve">Project: A Personal Assistant with Subagents</t>
  </si>
  <si>
    <t xml:space="preserve">agentic-ai:ch19 (17), agentic-ai:ch20 (12), agentic-ai:ch10 (11)</t>
  </si>
  <si>
    <t xml:space="preserve">calendar_agent, supervisor_agent, email_agent, pretty_print, plain_calendar_agent, calendar_agent_prompt, supervisor_prompt, interrupt_info, email_agent_prompt, start_time, schedule_event_with_context, schedule_event_structured</t>
  </si>
  <si>
    <t xml:space="preserve">R-292</t>
  </si>
  <si>
    <t xml:space="preserve">02_Handoffs_Customer_Support.ipynb</t>
  </si>
  <si>
    <t xml:space="preserve">Weekend 14 - Oct 3 &amp; Oct 4/Multi Agents in Langchain/02_Handoffs_Customer_Support.ipynb</t>
  </si>
  <si>
    <t xml:space="preserve">Project: Customer Support with the Handoffs (State Machine) Pattern</t>
  </si>
  <si>
    <t xml:space="preserve">agentic-ai:ch19 (16), agentic-ai:ch10 (12), agentic-ai:ch20 (10)</t>
  </si>
  <si>
    <t xml:space="preserve">support_agent, step_config, record_warranty_status, record_issue_type, provide_solution, escalate_to_human, pretty_print, warranty_status, issue_type, apply_step_config, all_tools, resolution_specialist_prompt</t>
  </si>
  <si>
    <t xml:space="preserve">R-293</t>
  </si>
  <si>
    <t xml:space="preserve">03_Router_Knowledge_Base.ipynb</t>
  </si>
  <si>
    <t xml:space="preserve">Weekend 14 - Oct 3 &amp; Oct 4/Multi Agents in Langchain/03_Router_Knowledge_Base.ipynb</t>
  </si>
  <si>
    <t xml:space="preserve">Project: A Multi-Source Knowledge Base with Routing</t>
  </si>
  <si>
    <t xml:space="preserve">agentic-ai:ch19 (18), agentic-ai:glossary (6), agentic-ai:cheat (5)</t>
  </si>
  <si>
    <t xml:space="preserve">final_answer, route_to_agents, classify_query, synthesize_results, router_llm, query_slack, query_notion, query_github, heading: agent create specializ vertical, slack_agent, notion_agent, github_agent</t>
  </si>
  <si>
    <t xml:space="preserve">R-294</t>
  </si>
  <si>
    <t xml:space="preserve">04_Skills_SQL_Assistant.ipynb</t>
  </si>
  <si>
    <t xml:space="preserve">Weekend 14 - Oct 3 &amp; Oct 4/Multi Agents in Langchain/04_Skills_SQL_Assistant.ipynb</t>
  </si>
  <si>
    <t xml:space="preserve">Project: A SQL Assistant with On-Demand Skills</t>
  </si>
  <si>
    <t xml:space="preserve">agentic-ai:ch19 (14), agentic-ai:ch2 (10), agentic-ai:glossary (7)</t>
  </si>
  <si>
    <t xml:space="preserve">write_sql_query, skills_loaded, sql_agent, skills_prompt, skills_list, skills_addendum, skillmiddleware, new_system_message, new_content, load_skill_tracked, heading: implementation variation, heading: constrain create</t>
  </si>
  <si>
    <t xml:space="preserve">R-295</t>
  </si>
  <si>
    <t xml:space="preserve">LangChain_MultiAgent_Patterns_VSCode.ipynb</t>
  </si>
  <si>
    <t xml:space="preserve">Weekend 14 - Oct 3 &amp; Oct 4/Multi Agents in Langchain/LangChain_MultiAgent_Patterns_VSCode.ipynb</t>
  </si>
  <si>
    <t xml:space="preserve">Multi-Agent Patterns in LangChain v1 -- CineBot Edition (VS Code + uv)</t>
  </si>
  <si>
    <t xml:space="preserve">agentic-ai:ch19 (15), agentic-ai:cheat (8), agentic-ai:ch3 (7)</t>
  </si>
  <si>
    <t xml:space="preserve">record_movie_choice, pick_seats, openaiembeddings, add_node, sub_answers, add_edge, transfer_to_refunds, showtimes_agent, refunds_agent, policy_agent, parent_messages, call_showtimes_agent</t>
  </si>
  <si>
    <t xml:space="preserve">R-296</t>
  </si>
  <si>
    <t xml:space="preserve">Weekend 14 - Oct 3 &amp; Oct 4/Multi Agents in Langchain/README.md</t>
  </si>
  <si>
    <t xml:space="preserve">agentic-ai:ch19 (11), agentic-ai:ch1 (6), agentic-ai:ch2 (6)</t>
  </si>
  <si>
    <t xml:space="preserve">sub_answers, executed_check, openaiembeddings, output_type, inmemoryvectorstore</t>
  </si>
  <si>
    <t xml:space="preserve">R-297</t>
  </si>
  <si>
    <t xml:space="preserve">Weekend 14 - Oct 3 &amp; Oct 4/Multi Agents in Langchain/pyproject.toml</t>
  </si>
  <si>
    <t xml:space="preserve">R-298</t>
  </si>
  <si>
    <t xml:space="preserve">test.py</t>
  </si>
  <si>
    <t xml:space="preserve">Weekend 14 - Oct 3 &amp; Oct 4/Multi Agents in Langchain/test.py</t>
  </si>
  <si>
    <t xml:space="preserve">agentic-ai:ch19 (10), agentic-ai:ch1 (4), agentic-ai:ch2 (4)</t>
  </si>
  <si>
    <t xml:space="preserve">slack_agent, notion_agent, github_agent</t>
  </si>
  <si>
    <t xml:space="preserve">R-299</t>
  </si>
  <si>
    <t xml:space="preserve">Weekend 14 - Oct 3 &amp; Oct 4/Multi Agents in Langchain/uv.lock</t>
  </si>
  <si>
    <t xml:space="preserve">R-300</t>
  </si>
  <si>
    <t xml:space="preserve">meridian-ai-learner-main.zip</t>
  </si>
  <si>
    <t xml:space="preserve">Weekend 14 - Oct 3 &amp; Oct 4/meridian-ai-learner-main.zip</t>
  </si>
  <si>
    <t xml:space="preserve">R-301</t>
  </si>
  <si>
    <t xml:space="preserve">.dockerignore</t>
  </si>
  <si>
    <t xml:space="preserve">Weekend 14 - Oct 3 &amp; Oct 4/meridian-ai-learner-main/.dockerignore</t>
  </si>
  <si>
    <t xml:space="preserve">agentic-ai:ch20</t>
  </si>
  <si>
    <t xml:space="preserve">R-302</t>
  </si>
  <si>
    <t xml:space="preserve">Weekend 14 - Oct 3 &amp; Oct 4/meridian-ai-learner-main/.env.example</t>
  </si>
  <si>
    <t xml:space="preserve">Copy this file to .env and fill in your values:   cp .env.example .env</t>
  </si>
  <si>
    <t xml:space="preserve">R-303</t>
  </si>
  <si>
    <t xml:space="preserve">deploy.yml</t>
  </si>
  <si>
    <t xml:space="preserve">Weekend 14 - Oct 3 &amp; Oct 4/meridian-ai-learner-main/.github/workflows/deploy.yml</t>
  </si>
  <si>
    <t xml:space="preserve">R-304</t>
  </si>
  <si>
    <t xml:space="preserve">Weekend 14 - Oct 3 &amp; Oct 4/meridian-ai-learner-main/.gitignore</t>
  </si>
  <si>
    <t xml:space="preserve">R-305</t>
  </si>
  <si>
    <t xml:space="preserve">DEPLOY.md</t>
  </si>
  <si>
    <t xml:space="preserve">Weekend 14 - Oct 3 &amp; Oct 4/meridian-ai-learner-main/DEPLOY.md</t>
  </si>
  <si>
    <t xml:space="preserve">Putting Meridian AI on Google Cloud</t>
  </si>
  <si>
    <t xml:space="preserve">agentic-ai:ch20 (22), rag:r5 (6), rag:r1 (4)</t>
  </si>
  <si>
    <t xml:space="preserve">your_project_id, heading: picture, vector_search_index_id, vector_search_index_endpoint_id, endpoint_id, project_id, index_id, gcp_region, gcs_prefix</t>
  </si>
  <si>
    <t xml:space="preserve">R-306</t>
  </si>
  <si>
    <t xml:space="preserve">Dockerfile</t>
  </si>
  <si>
    <t xml:space="preserve">Weekend 14 - Oct 3 &amp; Oct 4/meridian-ai-learner-main/Dockerfile</t>
  </si>
  <si>
    <t xml:space="preserve">Use npm ci if package-lock is present, else install</t>
  </si>
  <si>
    <t xml:space="preserve">R-307</t>
  </si>
  <si>
    <t xml:space="preserve">Weekend 14 - Oct 3 &amp; Oct 4/meridian-ai-learner-main/README.md</t>
  </si>
  <si>
    <t xml:space="preserve">Meridian AI</t>
  </si>
  <si>
    <t xml:space="preserve">agentic-ai:ch20 (25), rag:r2 (9), rag:r5 (6)</t>
  </si>
  <si>
    <t xml:space="preserve">heading: docker optional, heading: check everyth wired, vector_search_index_id, vector_search_index_endpoint_id, central1, gcp_service_account_path, index_id, gcp_region, gcs_prefix</t>
  </si>
  <si>
    <t xml:space="preserve">R-308</t>
  </si>
  <si>
    <t xml:space="preserve">Weekend 14 - Oct 3 &amp; Oct 4/meridian-ai-learner-main/backend/agent/__init__.py</t>
  </si>
  <si>
    <t xml:space="preserve">R-309</t>
  </si>
  <si>
    <t xml:space="preserve">agents.py</t>
  </si>
  <si>
    <t xml:space="preserve">Weekend 14 - Oct 3 &amp; Oct 4/meridian-ai-learner-main/backend/agent/agents.py</t>
  </si>
  <si>
    <t xml:space="preserve">Multi-agent procurement audit.</t>
  </si>
  <si>
    <t xml:space="preserve">agentic-ai:ch20 (23), rag:r2 (2), rag:r4 (2)</t>
  </si>
  <si>
    <t xml:space="preserve">synthesis_prompt, sample_request, global_logger as log, system_prompt</t>
  </si>
  <si>
    <t xml:space="preserve">R-310</t>
  </si>
  <si>
    <t xml:space="preserve">prompts.py</t>
  </si>
  <si>
    <t xml:space="preserve">Weekend 14 - Oct 3 &amp; Oct 4/meridian-ai-learner-main/backend/agent/prompts.py</t>
  </si>
  <si>
    <t xml:space="preserve">SYNTHESIS_PROMPT_TEMPLATE =</t>
  </si>
  <si>
    <t xml:space="preserve">agentic-ai:ch20 (28), rag:cheat (9), rag:r1 (8)</t>
  </si>
  <si>
    <t xml:space="preserve">verdict, validation, transaction, schedule, range, overall, memorandum, liability, incoming, findings</t>
  </si>
  <si>
    <t xml:space="preserve">R-311</t>
  </si>
  <si>
    <t xml:space="preserve">Weekend 14 - Oct 3 &amp; Oct 4/meridian-ai-learner-main/backend/agent/tools.py</t>
  </si>
  <si>
    <t xml:space="preserve">agentic-ai:ch20 (11), rag:r2 (5), rag:r1 (5)</t>
  </si>
  <si>
    <t xml:space="preserve">vendor_name, vat_gst_rate, vat_gst_amount, usd_inr, trade_agreement_notes, total_cost, toolsets, tax_rate, tax_amount, risk_level, raw_response, rate_used</t>
  </si>
  <si>
    <t xml:space="preserve">R-312</t>
  </si>
  <si>
    <t xml:space="preserve">Weekend 14 - Oct 3 &amp; Oct 4/meridian-ai-learner-main/backend/api/__init__.py</t>
  </si>
  <si>
    <t xml:space="preserve">R-313</t>
  </si>
  <si>
    <t xml:space="preserve">endpoints.py</t>
  </si>
  <si>
    <t xml:space="preserve">Weekend 14 - Oct 3 &amp; Oct 4/meridian-ai-learner-main/backend/api/endpoints.py</t>
  </si>
  <si>
    <t xml:space="preserve">REST endpoints. Each route is thin: validate input, call the real logic, return JSON.</t>
  </si>
  <si>
    <t xml:space="preserve">agentic-ai:ch20 (4), rag:r2 (2)</t>
  </si>
  <si>
    <t xml:space="preserve">gcs_prefix, uptime_seconds, uploadfile, upload_documents, trigger_gcs_ingestion, total_seconds, system_status, run_in_threadpool, response_model, rag_query, list_uploads, gcs_err</t>
  </si>
  <si>
    <t xml:space="preserve">Add the missing concepts to RAG book or LangChain ch20</t>
  </si>
  <si>
    <t xml:space="preserve">R-314</t>
  </si>
  <si>
    <t xml:space="preserve">Weekend 14 - Oct 3 &amp; Oct 4/meridian-ai-learner-main/backend/api/main.py</t>
  </si>
  <si>
    <t xml:space="preserve">FastAPI backend — Procurement Audit &amp; RAG Document Intelligence</t>
  </si>
  <si>
    <t xml:space="preserve">serve_frontend, include_router, include_in_schema, frontend_dist, file_path, allow_origins, allow_methods, allow_headers, allow_credentials, add_middleware, _logger_instance, status_router</t>
  </si>
  <si>
    <t xml:space="preserve">R-315</t>
  </si>
  <si>
    <t xml:space="preserve">schemas.py</t>
  </si>
  <si>
    <t xml:space="preserve">Weekend 14 - Oct 3 &amp; Oct 4/meridian-ai-learner-main/backend/api/schemas.py</t>
  </si>
  <si>
    <t xml:space="preserve">agentic-ai:ch20 (7), rag:r3 (2)</t>
  </si>
  <si>
    <t xml:space="preserve">queryresponse, queryrequest, auditresponse, auditrequest, basemodel</t>
  </si>
  <si>
    <t xml:space="preserve">R-316</t>
  </si>
  <si>
    <t xml:space="preserve">Weekend 14 - Oct 3 &amp; Oct 4/meridian-ai-learner-main/backend/config/__init__.py</t>
  </si>
  <si>
    <t xml:space="preserve">R-317</t>
  </si>
  <si>
    <t xml:space="preserve">settings.py</t>
  </si>
  <si>
    <t xml:space="preserve">Weekend 14 - Oct 3 &amp; Oct 4/meridian-ai-learner-main/backend/config/settings.py</t>
  </si>
  <si>
    <t xml:space="preserve">agentic-ai:ch20 (15), rag:r2 (3), rag:home (3)</t>
  </si>
  <si>
    <t xml:space="preserve">gcp_service_account_path, vector_search_index_id, vector_search_index_endpoint_id, validation_alias, settingsconfigdict, pydantic_settings, google_application_credentials, env_file_encoding, abs_path, app_version, app_name, llm_model_name</t>
  </si>
  <si>
    <t xml:space="preserve">R-318</t>
  </si>
  <si>
    <t xml:space="preserve">Weekend 14 - Oct 3 &amp; Oct 4/meridian-ai-learner-main/backend/logger/__init__.py</t>
  </si>
  <si>
    <t xml:space="preserve">R-319</t>
  </si>
  <si>
    <t xml:space="preserve">custom_logger.py</t>
  </si>
  <si>
    <t xml:space="preserve">Weekend 14 - Oct 3 &amp; Oct 4/meridian-ai-learner-main/backend/logger/custom_logger.py</t>
  </si>
  <si>
    <t xml:space="preserve">agentic-ai:ch20 (4)</t>
  </si>
  <si>
    <t xml:space="preserve">gcp_project, timestamper, streamhandler, setlevel, setformatter, method_name, logs_dir, loggerfactory, logger_name, logger_factory, log_file_path, log_dir</t>
  </si>
  <si>
    <t xml:space="preserve">R-320</t>
  </si>
  <si>
    <t xml:space="preserve">Weekend 14 - Oct 3 &amp; Oct 4/meridian-ai-learner-main/backend/rag/__init__.py</t>
  </si>
  <si>
    <t xml:space="preserve">R-321</t>
  </si>
  <si>
    <t xml:space="preserve">data_ingestion.py</t>
  </si>
  <si>
    <t xml:space="preserve">Weekend 14 - Oct 3 &amp; Oct 4/meridian-ai-learner-main/backend/rag/data_ingestion.py</t>
  </si>
  <si>
    <t xml:space="preserve">Getting documents INTO the vector database.</t>
  </si>
  <si>
    <t xml:space="preserve">rag:r2 (9), rag:cheat (3), agentic-ai:ch20 (3)</t>
  </si>
  <si>
    <t xml:space="preserve">list_blobs, langchain_text_splitters, download_to_filename, tmp_dir, split_into_chunks, local_path, langchain_community, ingest_data_from_gcs, ignore_errors, document_loaders, gcp_project, global_logger as log</t>
  </si>
  <si>
    <t xml:space="preserve">R-322</t>
  </si>
  <si>
    <t xml:space="preserve">embeddings.py</t>
  </si>
  <si>
    <t xml:space="preserve">Weekend 14 - Oct 3 &amp; Oct 4/meridian-ai-learner-main/backend/rag/embeddings.py</t>
  </si>
  <si>
    <t xml:space="preserve">Text -&gt; vector conversion, used both when indexing documents and when searching.</t>
  </si>
  <si>
    <t xml:space="preserve">agentic-ai:ch20 (2)</t>
  </si>
  <si>
    <t xml:space="preserve">vertexaiembeddings, langchain_google_vertexai, get_embeddings, model_name, embedding_model_name</t>
  </si>
  <si>
    <t xml:space="preserve">R-323</t>
  </si>
  <si>
    <t xml:space="preserve">llm.py</t>
  </si>
  <si>
    <t xml:space="preserve">Weekend 14 - Oct 3 &amp; Oct 4/meridian-ai-learner-main/backend/rag/llm.py</t>
  </si>
  <si>
    <t xml:space="preserve">The LLM used by both the RAG chain and the agents.</t>
  </si>
  <si>
    <t xml:space="preserve">agentic-ai:ch20 (4), rag:r2 (3), rag:r4 (2)</t>
  </si>
  <si>
    <t xml:space="preserve">langchain_google_genai, chatgooglegenerativeai, llm_model_name</t>
  </si>
  <si>
    <t xml:space="preserve">R-324</t>
  </si>
  <si>
    <t xml:space="preserve">retrieval.py</t>
  </si>
  <si>
    <t xml:space="preserve">Weekend 14 - Oct 3 &amp; Oct 4/meridian-ai-learner-main/backend/rag/retrieval.py</t>
  </si>
  <si>
    <t xml:space="preserve">RAG question answering: retrieve relevant chunks, then let Gemini answer from them.</t>
  </si>
  <si>
    <t xml:space="preserve">rag:r3 (9), agentic-ai:ch20 (6), rag:r2 (5)</t>
  </si>
  <si>
    <t xml:space="preserve">multiqueryretriever, multi_query, llmchainextractor, from_llm, document_compressors, create_stuff_documents_chain, contextualcompressionretriever, combine_documents, base_retriever, base_compressor, from_messages, global_logger as log</t>
  </si>
  <si>
    <t xml:space="preserve">R-325</t>
  </si>
  <si>
    <t xml:space="preserve">vector_store.py</t>
  </si>
  <si>
    <t xml:space="preserve">Weekend 14 - Oct 3 &amp; Oct 4/meridian-ai-learner-main/backend/rag/vector_store.py</t>
  </si>
  <si>
    <t xml:space="preserve">Connection to Vertex AI Vector Search (the database that stores our embeddings).</t>
  </si>
  <si>
    <t xml:space="preserve">agentic-ai:ch20 (3), rag:r2 (3)</t>
  </si>
  <si>
    <t xml:space="preserve">vectorsearchvectorstore, from_components, langchain_google_vertexai, get_embeddings, vector_search_index_id, vector_search_index_endpoint_id, gcp_project, endpoint_id, project_id, index_id, gcp_region</t>
  </si>
  <si>
    <t xml:space="preserve">R-326</t>
  </si>
  <si>
    <t xml:space="preserve">conftest.py</t>
  </si>
  <si>
    <t xml:space="preserve">Weekend 14 - Oct 3 &amp; Oct 4/meridian-ai-learner-main/backend/tests/conftest.py</t>
  </si>
  <si>
    <t xml:space="preserve">Test setup: fake config so the tests run without Google Cloud or a Gemini key.</t>
  </si>
  <si>
    <t xml:space="preserve">agentic-ai:ch20 (3)</t>
  </si>
  <si>
    <t xml:space="preserve">gcp_region, gcs_prefix</t>
  </si>
  <si>
    <t xml:space="preserve">R-327</t>
  </si>
  <si>
    <t xml:space="preserve">test_api.py</t>
  </si>
  <si>
    <t xml:space="preserve">Weekend 14 - Oct 3 &amp; Oct 4/meridian-ai-learner-main/backend/tests/test_api.py</t>
  </si>
  <si>
    <t xml:space="preserve">Smoke tests: the API starts and its routes work WITHOUT Google Cloud (everything external is faked).</t>
  </si>
  <si>
    <t xml:space="preserve">agentic-ai:ch20 (15), rag:r2 (5), rag:r3 (3)</t>
  </si>
  <si>
    <t xml:space="preserve">test_upload_skips_non_pdf, test_unknown_api_route_is_404, test_status_shows_config_without_calling_gcp, test_sample_pdfs_load_and_chunk, test_log_lines_carry_a_severity_field_for_cloud_logging, test_health, test_chunking_splits_long_text_and_keeps_metadata, test_audit_returns_all_four_sections, test_ask_returns_answer, fakesupervisor, split_into_chunks, langchain_community</t>
  </si>
  <si>
    <t xml:space="preserve">R-328</t>
  </si>
  <si>
    <t xml:space="preserve">bun.lock</t>
  </si>
  <si>
    <t xml:space="preserve">Weekend 14 - Oct 3 &amp; Oct 4/meridian-ai-learner-main/frontend/bun.lock</t>
  </si>
  <si>
    <t xml:space="preserve">R-329</t>
  </si>
  <si>
    <t xml:space="preserve">components.json</t>
  </si>
  <si>
    <t xml:space="preserve">Weekend 14 - Oct 3 &amp; Oct 4/meridian-ai-learner-main/frontend/components.json</t>
  </si>
  <si>
    <t xml:space="preserve">R-330</t>
  </si>
  <si>
    <t xml:space="preserve">eslint.config.js</t>
  </si>
  <si>
    <t xml:space="preserve">Weekend 14 - Oct 3 &amp; Oct 4/meridian-ai-learner-main/frontend/eslint.config.js</t>
  </si>
  <si>
    <t xml:space="preserve">R-331</t>
  </si>
  <si>
    <t xml:space="preserve">Weekend 14 - Oct 3 &amp; Oct 4/meridian-ai-learner-main/frontend/index.html</t>
  </si>
  <si>
    <t xml:space="preserve">R-332</t>
  </si>
  <si>
    <t xml:space="preserve">package-lock.json</t>
  </si>
  <si>
    <t xml:space="preserve">Weekend 14 - Oct 3 &amp; Oct 4/meridian-ai-learner-main/frontend/package-lock.json</t>
  </si>
  <si>
    <t xml:space="preserve">R-333</t>
  </si>
  <si>
    <t xml:space="preserve">package.json</t>
  </si>
  <si>
    <t xml:space="preserve">Weekend 14 - Oct 3 &amp; Oct 4/meridian-ai-learner-main/frontend/package.json</t>
  </si>
  <si>
    <t xml:space="preserve">R-334</t>
  </si>
  <si>
    <t xml:space="preserve">playwright-fixture.ts</t>
  </si>
  <si>
    <t xml:space="preserve">Weekend 14 - Oct 3 &amp; Oct 4/meridian-ai-learner-main/frontend/playwright-fixture.ts</t>
  </si>
  <si>
    <t xml:space="preserve">R-335</t>
  </si>
  <si>
    <t xml:space="preserve">playwright.config.ts</t>
  </si>
  <si>
    <t xml:space="preserve">Weekend 14 - Oct 3 &amp; Oct 4/meridian-ai-learner-main/frontend/playwright.config.ts</t>
  </si>
  <si>
    <t xml:space="preserve">R-336</t>
  </si>
  <si>
    <t xml:space="preserve">postcss.config.js</t>
  </si>
  <si>
    <t xml:space="preserve">Weekend 14 - Oct 3 &amp; Oct 4/meridian-ai-learner-main/frontend/postcss.config.js</t>
  </si>
  <si>
    <t xml:space="preserve">R-337</t>
  </si>
  <si>
    <t xml:space="preserve">App.css</t>
  </si>
  <si>
    <t xml:space="preserve">Weekend 14 - Oct 3 &amp; Oct 4/meridian-ai-learner-main/frontend/src/App.css</t>
  </si>
  <si>
    <t xml:space="preserve">frontend material dropped by request</t>
  </si>
  <si>
    <t xml:space="preserve">R-338</t>
  </si>
  <si>
    <t xml:space="preserve">App.tsx</t>
  </si>
  <si>
    <t xml:space="preserve">Weekend 14 - Oct 3 &amp; Oct 4/meridian-ai-learner-main/frontend/src/App.tsx</t>
  </si>
  <si>
    <t xml:space="preserve">R-339</t>
  </si>
  <si>
    <t xml:space="preserve">AuditTab.tsx</t>
  </si>
  <si>
    <t xml:space="preserve">Weekend 14 - Oct 3 &amp; Oct 4/meridian-ai-learner-main/frontend/src/components/AuditTab.tsx</t>
  </si>
  <si>
    <t xml:space="preserve">R-340</t>
  </si>
  <si>
    <t xml:space="preserve">DocumentUploadTab.tsx</t>
  </si>
  <si>
    <t xml:space="preserve">Weekend 14 - Oct 3 &amp; Oct 4/meridian-ai-learner-main/frontend/src/components/DocumentUploadTab.tsx</t>
  </si>
  <si>
    <t xml:space="preserve">R-341</t>
  </si>
  <si>
    <t xml:space="preserve">NavLink.tsx</t>
  </si>
  <si>
    <t xml:space="preserve">Weekend 14 - Oct 3 &amp; Oct 4/meridian-ai-learner-main/frontend/src/components/NavLink.tsx</t>
  </si>
  <si>
    <t xml:space="preserve">R-342</t>
  </si>
  <si>
    <t xml:space="preserve">RagQATab.tsx</t>
  </si>
  <si>
    <t xml:space="preserve">Weekend 14 - Oct 3 &amp; Oct 4/meridian-ai-learner-main/frontend/src/components/RagQATab.tsx</t>
  </si>
  <si>
    <t xml:space="preserve">R-343</t>
  </si>
  <si>
    <t xml:space="preserve">SystemStatusTab.tsx</t>
  </si>
  <si>
    <t xml:space="preserve">Weekend 14 - Oct 3 &amp; Oct 4/meridian-ai-learner-main/frontend/src/components/SystemStatusTab.tsx</t>
  </si>
  <si>
    <t xml:space="preserve">R-344</t>
  </si>
  <si>
    <t xml:space="preserve">accordion.tsx</t>
  </si>
  <si>
    <t xml:space="preserve">Weekend 14 - Oct 3 &amp; Oct 4/meridian-ai-learner-main/frontend/src/components/ui/accordion.tsx</t>
  </si>
  <si>
    <t xml:space="preserve">R-345</t>
  </si>
  <si>
    <t xml:space="preserve">alert-dialog.tsx</t>
  </si>
  <si>
    <t xml:space="preserve">Weekend 14 - Oct 3 &amp; Oct 4/meridian-ai-learner-main/frontend/src/components/ui/alert-dialog.tsx</t>
  </si>
  <si>
    <t xml:space="preserve">R-346</t>
  </si>
  <si>
    <t xml:space="preserve">alert.tsx</t>
  </si>
  <si>
    <t xml:space="preserve">Weekend 14 - Oct 3 &amp; Oct 4/meridian-ai-learner-main/frontend/src/components/ui/alert.tsx</t>
  </si>
  <si>
    <t xml:space="preserve">R-347</t>
  </si>
  <si>
    <t xml:space="preserve">aspect-ratio.tsx</t>
  </si>
  <si>
    <t xml:space="preserve">Weekend 14 - Oct 3 &amp; Oct 4/meridian-ai-learner-main/frontend/src/components/ui/aspect-ratio.tsx</t>
  </si>
  <si>
    <t xml:space="preserve">R-348</t>
  </si>
  <si>
    <t xml:space="preserve">avatar.tsx</t>
  </si>
  <si>
    <t xml:space="preserve">Weekend 14 - Oct 3 &amp; Oct 4/meridian-ai-learner-main/frontend/src/components/ui/avatar.tsx</t>
  </si>
  <si>
    <t xml:space="preserve">R-349</t>
  </si>
  <si>
    <t xml:space="preserve">badge.tsx</t>
  </si>
  <si>
    <t xml:space="preserve">Weekend 14 - Oct 3 &amp; Oct 4/meridian-ai-learner-main/frontend/src/components/ui/badge.tsx</t>
  </si>
  <si>
    <t xml:space="preserve">R-350</t>
  </si>
  <si>
    <t xml:space="preserve">breadcrumb.tsx</t>
  </si>
  <si>
    <t xml:space="preserve">Weekend 14 - Oct 3 &amp; Oct 4/meridian-ai-learner-main/frontend/src/components/ui/breadcrumb.tsx</t>
  </si>
  <si>
    <t xml:space="preserve">R-351</t>
  </si>
  <si>
    <t xml:space="preserve">button.tsx</t>
  </si>
  <si>
    <t xml:space="preserve">Weekend 14 - Oct 3 &amp; Oct 4/meridian-ai-learner-main/frontend/src/components/ui/button.tsx</t>
  </si>
  <si>
    <t xml:space="preserve">R-352</t>
  </si>
  <si>
    <t xml:space="preserve">calendar.tsx</t>
  </si>
  <si>
    <t xml:space="preserve">Weekend 14 - Oct 3 &amp; Oct 4/meridian-ai-learner-main/frontend/src/components/ui/calendar.tsx</t>
  </si>
  <si>
    <t xml:space="preserve">R-353</t>
  </si>
  <si>
    <t xml:space="preserve">card.tsx</t>
  </si>
  <si>
    <t xml:space="preserve">Weekend 14 - Oct 3 &amp; Oct 4/meridian-ai-learner-main/frontend/src/components/ui/card.tsx</t>
  </si>
  <si>
    <t xml:space="preserve">R-354</t>
  </si>
  <si>
    <t xml:space="preserve">carousel.tsx</t>
  </si>
  <si>
    <t xml:space="preserve">Weekend 14 - Oct 3 &amp; Oct 4/meridian-ai-learner-main/frontend/src/components/ui/carousel.tsx</t>
  </si>
  <si>
    <t xml:space="preserve">R-355</t>
  </si>
  <si>
    <t xml:space="preserve">chart.tsx</t>
  </si>
  <si>
    <t xml:space="preserve">Weekend 14 - Oct 3 &amp; Oct 4/meridian-ai-learner-main/frontend/src/components/ui/chart.tsx</t>
  </si>
  <si>
    <t xml:space="preserve">R-356</t>
  </si>
  <si>
    <t xml:space="preserve">checkbox.tsx</t>
  </si>
  <si>
    <t xml:space="preserve">Weekend 14 - Oct 3 &amp; Oct 4/meridian-ai-learner-main/frontend/src/components/ui/checkbox.tsx</t>
  </si>
  <si>
    <t xml:space="preserve">R-357</t>
  </si>
  <si>
    <t xml:space="preserve">collapsible.tsx</t>
  </si>
  <si>
    <t xml:space="preserve">Weekend 14 - Oct 3 &amp; Oct 4/meridian-ai-learner-main/frontend/src/components/ui/collapsible.tsx</t>
  </si>
  <si>
    <t xml:space="preserve">R-358</t>
  </si>
  <si>
    <t xml:space="preserve">command.tsx</t>
  </si>
  <si>
    <t xml:space="preserve">Weekend 14 - Oct 3 &amp; Oct 4/meridian-ai-learner-main/frontend/src/components/ui/command.tsx</t>
  </si>
  <si>
    <t xml:space="preserve">R-359</t>
  </si>
  <si>
    <t xml:space="preserve">context-menu.tsx</t>
  </si>
  <si>
    <t xml:space="preserve">Weekend 14 - Oct 3 &amp; Oct 4/meridian-ai-learner-main/frontend/src/components/ui/context-menu.tsx</t>
  </si>
  <si>
    <t xml:space="preserve">R-360</t>
  </si>
  <si>
    <t xml:space="preserve">dialog.tsx</t>
  </si>
  <si>
    <t xml:space="preserve">Weekend 14 - Oct 3 &amp; Oct 4/meridian-ai-learner-main/frontend/src/components/ui/dialog.tsx</t>
  </si>
  <si>
    <t xml:space="preserve">R-361</t>
  </si>
  <si>
    <t xml:space="preserve">drawer.tsx</t>
  </si>
  <si>
    <t xml:space="preserve">Weekend 14 - Oct 3 &amp; Oct 4/meridian-ai-learner-main/frontend/src/components/ui/drawer.tsx</t>
  </si>
  <si>
    <t xml:space="preserve">R-362</t>
  </si>
  <si>
    <t xml:space="preserve">dropdown-menu.tsx</t>
  </si>
  <si>
    <t xml:space="preserve">Weekend 14 - Oct 3 &amp; Oct 4/meridian-ai-learner-main/frontend/src/components/ui/dropdown-menu.tsx</t>
  </si>
  <si>
    <t xml:space="preserve">R-363</t>
  </si>
  <si>
    <t xml:space="preserve">form.tsx</t>
  </si>
  <si>
    <t xml:space="preserve">Weekend 14 - Oct 3 &amp; Oct 4/meridian-ai-learner-main/frontend/src/components/ui/form.tsx</t>
  </si>
  <si>
    <t xml:space="preserve">R-364</t>
  </si>
  <si>
    <t xml:space="preserve">hover-card.tsx</t>
  </si>
  <si>
    <t xml:space="preserve">Weekend 14 - Oct 3 &amp; Oct 4/meridian-ai-learner-main/frontend/src/components/ui/hover-card.tsx</t>
  </si>
  <si>
    <t xml:space="preserve">R-365</t>
  </si>
  <si>
    <t xml:space="preserve">input-otp.tsx</t>
  </si>
  <si>
    <t xml:space="preserve">Weekend 14 - Oct 3 &amp; Oct 4/meridian-ai-learner-main/frontend/src/components/ui/input-otp.tsx</t>
  </si>
  <si>
    <t xml:space="preserve">R-366</t>
  </si>
  <si>
    <t xml:space="preserve">input.tsx</t>
  </si>
  <si>
    <t xml:space="preserve">Weekend 14 - Oct 3 &amp; Oct 4/meridian-ai-learner-main/frontend/src/components/ui/input.tsx</t>
  </si>
  <si>
    <t xml:space="preserve">R-367</t>
  </si>
  <si>
    <t xml:space="preserve">label.tsx</t>
  </si>
  <si>
    <t xml:space="preserve">Weekend 14 - Oct 3 &amp; Oct 4/meridian-ai-learner-main/frontend/src/components/ui/label.tsx</t>
  </si>
  <si>
    <t xml:space="preserve">R-368</t>
  </si>
  <si>
    <t xml:space="preserve">menubar.tsx</t>
  </si>
  <si>
    <t xml:space="preserve">Weekend 14 - Oct 3 &amp; Oct 4/meridian-ai-learner-main/frontend/src/components/ui/menubar.tsx</t>
  </si>
  <si>
    <t xml:space="preserve">R-369</t>
  </si>
  <si>
    <t xml:space="preserve">navigation-menu.tsx</t>
  </si>
  <si>
    <t xml:space="preserve">Weekend 14 - Oct 3 &amp; Oct 4/meridian-ai-learner-main/frontend/src/components/ui/navigation-menu.tsx</t>
  </si>
  <si>
    <t xml:space="preserve">R-370</t>
  </si>
  <si>
    <t xml:space="preserve">pagination.tsx</t>
  </si>
  <si>
    <t xml:space="preserve">Weekend 14 - Oct 3 &amp; Oct 4/meridian-ai-learner-main/frontend/src/components/ui/pagination.tsx</t>
  </si>
  <si>
    <t xml:space="preserve">R-371</t>
  </si>
  <si>
    <t xml:space="preserve">popover.tsx</t>
  </si>
  <si>
    <t xml:space="preserve">Weekend 14 - Oct 3 &amp; Oct 4/meridian-ai-learner-main/frontend/src/components/ui/popover.tsx</t>
  </si>
  <si>
    <t xml:space="preserve">R-372</t>
  </si>
  <si>
    <t xml:space="preserve">progress.tsx</t>
  </si>
  <si>
    <t xml:space="preserve">Weekend 14 - Oct 3 &amp; Oct 4/meridian-ai-learner-main/frontend/src/components/ui/progress.tsx</t>
  </si>
  <si>
    <t xml:space="preserve">R-373</t>
  </si>
  <si>
    <t xml:space="preserve">radio-group.tsx</t>
  </si>
  <si>
    <t xml:space="preserve">Weekend 14 - Oct 3 &amp; Oct 4/meridian-ai-learner-main/frontend/src/components/ui/radio-group.tsx</t>
  </si>
  <si>
    <t xml:space="preserve">R-374</t>
  </si>
  <si>
    <t xml:space="preserve">resizable.tsx</t>
  </si>
  <si>
    <t xml:space="preserve">Weekend 14 - Oct 3 &amp; Oct 4/meridian-ai-learner-main/frontend/src/components/ui/resizable.tsx</t>
  </si>
  <si>
    <t xml:space="preserve">R-375</t>
  </si>
  <si>
    <t xml:space="preserve">scroll-area.tsx</t>
  </si>
  <si>
    <t xml:space="preserve">Weekend 14 - Oct 3 &amp; Oct 4/meridian-ai-learner-main/frontend/src/components/ui/scroll-area.tsx</t>
  </si>
  <si>
    <t xml:space="preserve">R-376</t>
  </si>
  <si>
    <t xml:space="preserve">select.tsx</t>
  </si>
  <si>
    <t xml:space="preserve">Weekend 14 - Oct 3 &amp; Oct 4/meridian-ai-learner-main/frontend/src/components/ui/select.tsx</t>
  </si>
  <si>
    <t xml:space="preserve">R-377</t>
  </si>
  <si>
    <t xml:space="preserve">separator.tsx</t>
  </si>
  <si>
    <t xml:space="preserve">Weekend 14 - Oct 3 &amp; Oct 4/meridian-ai-learner-main/frontend/src/components/ui/separator.tsx</t>
  </si>
  <si>
    <t xml:space="preserve">R-378</t>
  </si>
  <si>
    <t xml:space="preserve">sheet.tsx</t>
  </si>
  <si>
    <t xml:space="preserve">Weekend 14 - Oct 3 &amp; Oct 4/meridian-ai-learner-main/frontend/src/components/ui/sheet.tsx</t>
  </si>
  <si>
    <t xml:space="preserve">R-379</t>
  </si>
  <si>
    <t xml:space="preserve">sidebar.tsx</t>
  </si>
  <si>
    <t xml:space="preserve">Weekend 14 - Oct 3 &amp; Oct 4/meridian-ai-learner-main/frontend/src/components/ui/sidebar.tsx</t>
  </si>
  <si>
    <t xml:space="preserve">R-380</t>
  </si>
  <si>
    <t xml:space="preserve">skeleton.tsx</t>
  </si>
  <si>
    <t xml:space="preserve">Weekend 14 - Oct 3 &amp; Oct 4/meridian-ai-learner-main/frontend/src/components/ui/skeleton.tsx</t>
  </si>
  <si>
    <t xml:space="preserve">R-381</t>
  </si>
  <si>
    <t xml:space="preserve">slider.tsx</t>
  </si>
  <si>
    <t xml:space="preserve">Weekend 14 - Oct 3 &amp; Oct 4/meridian-ai-learner-main/frontend/src/components/ui/slider.tsx</t>
  </si>
  <si>
    <t xml:space="preserve">R-382</t>
  </si>
  <si>
    <t xml:space="preserve">sonner.tsx</t>
  </si>
  <si>
    <t xml:space="preserve">Weekend 14 - Oct 3 &amp; Oct 4/meridian-ai-learner-main/frontend/src/components/ui/sonner.tsx</t>
  </si>
  <si>
    <t xml:space="preserve">R-383</t>
  </si>
  <si>
    <t xml:space="preserve">switch.tsx</t>
  </si>
  <si>
    <t xml:space="preserve">Weekend 14 - Oct 3 &amp; Oct 4/meridian-ai-learner-main/frontend/src/components/ui/switch.tsx</t>
  </si>
  <si>
    <t xml:space="preserve">R-384</t>
  </si>
  <si>
    <t xml:space="preserve">table.tsx</t>
  </si>
  <si>
    <t xml:space="preserve">Weekend 14 - Oct 3 &amp; Oct 4/meridian-ai-learner-main/frontend/src/components/ui/table.tsx</t>
  </si>
  <si>
    <t xml:space="preserve">R-385</t>
  </si>
  <si>
    <t xml:space="preserve">tabs.tsx</t>
  </si>
  <si>
    <t xml:space="preserve">Weekend 14 - Oct 3 &amp; Oct 4/meridian-ai-learner-main/frontend/src/components/ui/tabs.tsx</t>
  </si>
  <si>
    <t xml:space="preserve">R-386</t>
  </si>
  <si>
    <t xml:space="preserve">textarea.tsx</t>
  </si>
  <si>
    <t xml:space="preserve">Weekend 14 - Oct 3 &amp; Oct 4/meridian-ai-learner-main/frontend/src/components/ui/textarea.tsx</t>
  </si>
  <si>
    <t xml:space="preserve">R-387</t>
  </si>
  <si>
    <t xml:space="preserve">toast.tsx</t>
  </si>
  <si>
    <t xml:space="preserve">Weekend 14 - Oct 3 &amp; Oct 4/meridian-ai-learner-main/frontend/src/components/ui/toast.tsx</t>
  </si>
  <si>
    <t xml:space="preserve">R-388</t>
  </si>
  <si>
    <t xml:space="preserve">toaster.tsx</t>
  </si>
  <si>
    <t xml:space="preserve">Weekend 14 - Oct 3 &amp; Oct 4/meridian-ai-learner-main/frontend/src/components/ui/toaster.tsx</t>
  </si>
  <si>
    <t xml:space="preserve">R-389</t>
  </si>
  <si>
    <t xml:space="preserve">toggle-group.tsx</t>
  </si>
  <si>
    <t xml:space="preserve">Weekend 14 - Oct 3 &amp; Oct 4/meridian-ai-learner-main/frontend/src/components/ui/toggle-group.tsx</t>
  </si>
  <si>
    <t xml:space="preserve">R-390</t>
  </si>
  <si>
    <t xml:space="preserve">toggle.tsx</t>
  </si>
  <si>
    <t xml:space="preserve">Weekend 14 - Oct 3 &amp; Oct 4/meridian-ai-learner-main/frontend/src/components/ui/toggle.tsx</t>
  </si>
  <si>
    <t xml:space="preserve">R-391</t>
  </si>
  <si>
    <t xml:space="preserve">tooltip.tsx</t>
  </si>
  <si>
    <t xml:space="preserve">Weekend 14 - Oct 3 &amp; Oct 4/meridian-ai-learner-main/frontend/src/components/ui/tooltip.tsx</t>
  </si>
  <si>
    <t xml:space="preserve">R-392</t>
  </si>
  <si>
    <t xml:space="preserve">use-toast.ts</t>
  </si>
  <si>
    <t xml:space="preserve">Weekend 14 - Oct 3 &amp; Oct 4/meridian-ai-learner-main/frontend/src/components/ui/use-toast.ts</t>
  </si>
  <si>
    <t xml:space="preserve">R-393</t>
  </si>
  <si>
    <t xml:space="preserve">use-mobile.tsx</t>
  </si>
  <si>
    <t xml:space="preserve">Weekend 14 - Oct 3 &amp; Oct 4/meridian-ai-learner-main/frontend/src/hooks/use-mobile.tsx</t>
  </si>
  <si>
    <t xml:space="preserve">R-394</t>
  </si>
  <si>
    <t xml:space="preserve">Weekend 14 - Oct 3 &amp; Oct 4/meridian-ai-learner-main/frontend/src/hooks/use-toast.ts</t>
  </si>
  <si>
    <t xml:space="preserve">R-395</t>
  </si>
  <si>
    <t xml:space="preserve">index.css</t>
  </si>
  <si>
    <t xml:space="preserve">Weekend 14 - Oct 3 &amp; Oct 4/meridian-ai-learner-main/frontend/src/index.css</t>
  </si>
  <si>
    <t xml:space="preserve">R-396</t>
  </si>
  <si>
    <t xml:space="preserve">api.ts</t>
  </si>
  <si>
    <t xml:space="preserve">Weekend 14 - Oct 3 &amp; Oct 4/meridian-ai-learner-main/frontend/src/lib/api.ts</t>
  </si>
  <si>
    <t xml:space="preserve">R-397</t>
  </si>
  <si>
    <t xml:space="preserve">utils.ts</t>
  </si>
  <si>
    <t xml:space="preserve">Weekend 14 - Oct 3 &amp; Oct 4/meridian-ai-learner-main/frontend/src/lib/utils.ts</t>
  </si>
  <si>
    <t xml:space="preserve">R-398</t>
  </si>
  <si>
    <t xml:space="preserve">main.tsx</t>
  </si>
  <si>
    <t xml:space="preserve">Weekend 14 - Oct 3 &amp; Oct 4/meridian-ai-learner-main/frontend/src/main.tsx</t>
  </si>
  <si>
    <t xml:space="preserve">R-399</t>
  </si>
  <si>
    <t xml:space="preserve">Index.tsx</t>
  </si>
  <si>
    <t xml:space="preserve">Weekend 14 - Oct 3 &amp; Oct 4/meridian-ai-learner-main/frontend/src/pages/Index.tsx</t>
  </si>
  <si>
    <t xml:space="preserve">R-400</t>
  </si>
  <si>
    <t xml:space="preserve">NotFound.tsx</t>
  </si>
  <si>
    <t xml:space="preserve">Weekend 14 - Oct 3 &amp; Oct 4/meridian-ai-learner-main/frontend/src/pages/NotFound.tsx</t>
  </si>
  <si>
    <t xml:space="preserve">R-401</t>
  </si>
  <si>
    <t xml:space="preserve">example.test.ts</t>
  </si>
  <si>
    <t xml:space="preserve">Weekend 14 - Oct 3 &amp; Oct 4/meridian-ai-learner-main/frontend/src/test/example.test.ts</t>
  </si>
  <si>
    <t xml:space="preserve">R-402</t>
  </si>
  <si>
    <t xml:space="preserve">setup.ts</t>
  </si>
  <si>
    <t xml:space="preserve">Weekend 14 - Oct 3 &amp; Oct 4/meridian-ai-learner-main/frontend/src/test/setup.ts</t>
  </si>
  <si>
    <t xml:space="preserve">R-403</t>
  </si>
  <si>
    <t xml:space="preserve">vite-env.d.ts</t>
  </si>
  <si>
    <t xml:space="preserve">Weekend 14 - Oct 3 &amp; Oct 4/meridian-ai-learner-main/frontend/src/vite-env.d.ts</t>
  </si>
  <si>
    <t xml:space="preserve">R-404</t>
  </si>
  <si>
    <t xml:space="preserve">tailwind.config.ts</t>
  </si>
  <si>
    <t xml:space="preserve">Weekend 14 - Oct 3 &amp; Oct 4/meridian-ai-learner-main/frontend/tailwind.config.ts</t>
  </si>
  <si>
    <t xml:space="preserve">R-405</t>
  </si>
  <si>
    <t xml:space="preserve">tsconfig.app.json</t>
  </si>
  <si>
    <t xml:space="preserve">Weekend 14 - Oct 3 &amp; Oct 4/meridian-ai-learner-main/frontend/tsconfig.app.json</t>
  </si>
  <si>
    <t xml:space="preserve">R-406</t>
  </si>
  <si>
    <t xml:space="preserve">tsconfig.json</t>
  </si>
  <si>
    <t xml:space="preserve">Weekend 14 - Oct 3 &amp; Oct 4/meridian-ai-learner-main/frontend/tsconfig.json</t>
  </si>
  <si>
    <t xml:space="preserve">R-407</t>
  </si>
  <si>
    <t xml:space="preserve">tsconfig.node.json</t>
  </si>
  <si>
    <t xml:space="preserve">Weekend 14 - Oct 3 &amp; Oct 4/meridian-ai-learner-main/frontend/tsconfig.node.json</t>
  </si>
  <si>
    <t xml:space="preserve">R-408</t>
  </si>
  <si>
    <t xml:space="preserve">vite.config.ts</t>
  </si>
  <si>
    <t xml:space="preserve">Weekend 14 - Oct 3 &amp; Oct 4/meridian-ai-learner-main/frontend/vite.config.ts</t>
  </si>
  <si>
    <t xml:space="preserve">R-409</t>
  </si>
  <si>
    <t xml:space="preserve">vitest.config.ts</t>
  </si>
  <si>
    <t xml:space="preserve">Weekend 14 - Oct 3 &amp; Oct 4/meridian-ai-learner-main/frontend/vitest.config.ts</t>
  </si>
  <si>
    <t xml:space="preserve">R-410</t>
  </si>
  <si>
    <t xml:space="preserve">generate_json.py</t>
  </si>
  <si>
    <t xml:space="preserve">Weekend 14 - Oct 3 &amp; Oct 4/meridian-ai-learner-main/generate_json.py</t>
  </si>
  <si>
    <t xml:space="preserve">init_embeddings</t>
  </si>
  <si>
    <t xml:space="preserve">R-411</t>
  </si>
  <si>
    <t xml:space="preserve">requirements-dev.txt</t>
  </si>
  <si>
    <t xml:space="preserve">Weekend 14 - Oct 3 &amp; Oct 4/meridian-ai-learner-main/requirements-dev.txt</t>
  </si>
  <si>
    <t xml:space="preserve">R-412</t>
  </si>
  <si>
    <t xml:space="preserve">Weekend 14 - Oct 3 &amp; Oct 4/meridian-ai-learner-main/requirements.txt</t>
  </si>
  <si>
    <t xml:space="preserve">Versions are pinned so the project behaves the same on every computer.</t>
  </si>
  <si>
    <t xml:space="preserve">R-413</t>
  </si>
  <si>
    <t xml:space="preserve">aldermoor_accounting_policy_ifrs.pdf</t>
  </si>
  <si>
    <t xml:space="preserve">Weekend 14 - Oct 3 &amp; Oct 4/meridian-ai-learner-main/sample_docs/aldermoor_accounting_policy_ifrs.pdf</t>
  </si>
  <si>
    <t xml:space="preserve">R-414</t>
  </si>
  <si>
    <t xml:space="preserve">aldermoor_annual_report_fy2024.pdf</t>
  </si>
  <si>
    <t xml:space="preserve">Weekend 14 - Oct 3 &amp; Oct 4/meridian-ai-learner-main/sample_docs/aldermoor_annual_report_fy2024.pdf</t>
  </si>
  <si>
    <t xml:space="preserve">R-415</t>
  </si>
  <si>
    <t xml:space="preserve">aldermoor_procurement_policy.pdf</t>
  </si>
  <si>
    <t xml:space="preserve">Weekend 14 - Oct 3 &amp; Oct 4/meridian-ai-learner-main/sample_docs/aldermoor_procurement_policy.pdf</t>
  </si>
  <si>
    <t xml:space="preserve">R-416</t>
  </si>
  <si>
    <t xml:space="preserve">eu_tariff_schedule_excerpt.pdf</t>
  </si>
  <si>
    <t xml:space="preserve">Weekend 14 - Oct 3 &amp; Oct 4/meridian-ai-learner-main/sample_docs/eu_tariff_schedule_excerpt.pdf</t>
  </si>
  <si>
    <t xml:space="preserve">R-417</t>
  </si>
  <si>
    <t xml:space="preserve">Weekend 15 - Oct 10 &amp; 11</t>
  </si>
  <si>
    <t xml:space="preserve">R-418</t>
  </si>
  <si>
    <t xml:space="preserve">classes_summary</t>
  </si>
  <si>
    <t xml:space="preserve">00 - 21 Jun - Course Induction &amp; Roadmap.md</t>
  </si>
  <si>
    <t xml:space="preserve">classes_summary/00 - 21 Jun - Course Induction &amp; Roadmap.md</t>
  </si>
  <si>
    <t xml:space="preserve">🚀 Class 00 — Course Induction &amp; Roadmap</t>
  </si>
  <si>
    <t xml:space="preserve">agentic-ai:ch11 (3), agentic-ai:ch16 (3), agentic-ai:ch6 (3)</t>
  </si>
  <si>
    <t xml:space="preserve">heading: cadence, heading: agentic agentop specialization</t>
  </si>
  <si>
    <t xml:space="preserve">R-419</t>
  </si>
  <si>
    <t xml:space="preserve">01 - 27 Jun - Python Setup &amp; API Basics.md</t>
  </si>
  <si>
    <t xml:space="preserve">classes_summary/01 - 27 Jun - Python Setup &amp; API Basics.md</t>
  </si>
  <si>
    <t xml:space="preserve">agentic-ai:ch1 (9), agentic-ai:ch17 (9), agentic-ai:ch2 (9)</t>
  </si>
  <si>
    <t xml:space="preserve">tool_registry, heading: agentic specialization, python_foundamentals, day_temp, converted_amount, get_current_time, fake_weather_data, is_raining, allowed_characters, raise_for_status, elapsed_ms, perf_counter</t>
  </si>
  <si>
    <t xml:space="preserve">Add the missing concepts to matching chapter</t>
  </si>
  <si>
    <t xml:space="preserve">R-420</t>
  </si>
  <si>
    <t xml:space="preserve">02 - 28 Jun - Python Refresher.md</t>
  </si>
  <si>
    <t xml:space="preserve">classes_summary/02 - 28 Jun - Python Refresher.md</t>
  </si>
  <si>
    <t xml:space="preserve">🧱 Class 02 — Python Refresher: OOP, Decorators &amp; the Case for Pydantic</t>
  </si>
  <si>
    <t xml:space="preserve">foundations:f1 (4), agentic-ai:ch2 (4), foundations:f4 (3)</t>
  </si>
  <si>
    <t xml:space="preserve">heading: problem pydantic solve, _4_decorators, _2_oop_classes, heading: boilerplate dataclass kill, heading: agentic specialization, my_book, account_2, account_1, _3_error_handling, _1_data_structures, _0_basics_refresher, slow_greeting</t>
  </si>
  <si>
    <t xml:space="preserve">R-421</t>
  </si>
  <si>
    <t xml:space="preserve">03 - 4 Jul - Pydantic Deep Dive.md</t>
  </si>
  <si>
    <t xml:space="preserve">classes_summary/03 - 4 Jul - Pydantic Deep Dive.md</t>
  </si>
  <si>
    <t xml:space="preserve">🛡️ Class 03 — Pydantic Deep Dive + AI Foundations</t>
  </si>
  <si>
    <t xml:space="preserve">pydantic:glossary (11), pydantic:cheat (10), pydantic:p4 (9)</t>
  </si>
  <si>
    <t xml:space="preserve">_8_pydantic_with_ai, _10_tool_with_ai_call, heading: problem stat, heading: agent before build terms vocabulary, heading: folder, heading: agentic specialization, target_currency, llm_clean_output, conversionrequest, _9_api_call_with_structure, _7_ai_call_free_and_paid, _6_fake_ai_call</t>
  </si>
  <si>
    <t xml:space="preserve">R-422</t>
  </si>
  <si>
    <t xml:space="preserve">04 - 5 Jul - Anatomy of an Agent.md</t>
  </si>
  <si>
    <t xml:space="preserve">classes_summary/04 - 5 Jul - Anatomy of an Agent.md</t>
  </si>
  <si>
    <t xml:space="preserve">🤖 Class 04 — LLMs Are Stateless &amp; The Anatomy of an Agent</t>
  </si>
  <si>
    <t xml:space="preserve">foundations:f4 (12), agentic-ai:ch3 (11), agentic-ai:ch16 (8)</t>
  </si>
  <si>
    <t xml:space="preserve">heading: giv manually, decide_tool, weatherquestion, extract_weather_question, ask_ai, heading: agentic specialization, wants_fahrenheit, raw_reply, answer_weather_question, ai_model, ask_openai, ask_groq</t>
  </si>
  <si>
    <t xml:space="preserve">R-423</t>
  </si>
  <si>
    <t xml:space="preserve">05 - 11 Jul - The Agentic Loop.md</t>
  </si>
  <si>
    <t xml:space="preserve">classes_summary/05 - 11 Jul - The Agentic Loop.md</t>
  </si>
  <si>
    <t xml:space="preserve">🔁 Class 05 — Building Real Agents in Pure Python: The Agentic Loop</t>
  </si>
  <si>
    <t xml:space="preserve">foundations:f3 (12), foundations:f4 (12), foundations:cheat (8)</t>
  </si>
  <si>
    <t xml:space="preserve">user_input, get_client_and_model, heading: agentic specialization, call_x4l82u, get_tool_schema_for_llm, get_capital_schema, chatcompletionmessagetoolcall, chatcompletionmessage, ask_ai_to_choose, tool_function, get_capital, chat_message</t>
  </si>
  <si>
    <t xml:space="preserve">R-424</t>
  </si>
  <si>
    <t xml:space="preserve">06 - 12 Jul - Introduction to LangChain.md</t>
  </si>
  <si>
    <t xml:space="preserve">classes_summary/06 - 12 Jul - Introduction to LangChain.md</t>
  </si>
  <si>
    <t xml:space="preserve">agentic-ai:ch1 (16), agentic-ai:ch2 (12), agentic-ai:ch3 (8)</t>
  </si>
  <si>
    <t xml:space="preserve">heading: agentic specialization, agent_result</t>
  </si>
  <si>
    <t xml:space="preserve">R-425</t>
  </si>
  <si>
    <t xml:space="preserve">07 - 18 Jul - LangChain Family &amp; Harness Engineering.md</t>
  </si>
  <si>
    <t xml:space="preserve">classes_summary/07 - 18 Jul - LangChain Family &amp; Harness Engineering.md</t>
  </si>
  <si>
    <t xml:space="preserve">🚗 Class 07 — The LangChain Family, Harness Engineering &amp; First Models</t>
  </si>
  <si>
    <t xml:space="preserve">agentic-ai:ch2 (12), agentic-ai:ch1 (10), agentic-ai:ch20 (7)</t>
  </si>
  <si>
    <t xml:space="preserve">heading: agentic specialization</t>
  </si>
  <si>
    <t xml:space="preserve">R-426</t>
  </si>
  <si>
    <t xml:space="preserve">08 - 19 Jul - Inside the Model.md</t>
  </si>
  <si>
    <t xml:space="preserve">classes_summary/08 - 19 Jul - Inside the Model.md</t>
  </si>
  <si>
    <t xml:space="preserve">🧠 Class 08 — Inside the Model: Environment, Messages, Streaming &amp; Tool Binding</t>
  </si>
  <si>
    <t xml:space="preserve">agentic-ai:ch3 (17), agentic-ai:ch4 (13), agentic-ai:glossary (11)</t>
  </si>
  <si>
    <t xml:space="preserve">openai_model, heading: problem proven structur, heading: dishonestly history insert legitimately manually, heading: bind preview, heading: agentic specialization, search_books, needs_human, call_123, paid_model, issue_category, document_id</t>
  </si>
  <si>
    <t xml:space="preserve">R-427</t>
  </si>
  <si>
    <t xml:space="preserve">09 - 25 Jul - Structured Output Mastery.md</t>
  </si>
  <si>
    <t xml:space="preserve">classes_summary/09 - 25 Jul - Structured Output Mastery.md</t>
  </si>
  <si>
    <t xml:space="preserve">🎬 Class 09 — Structured Output Mastery: Building CineBot</t>
  </si>
  <si>
    <t xml:space="preserve">agentic-ai:ch4 (23), agentic-ai:ch18 (8), agentic-ai:ch3 (8)</t>
  </si>
  <si>
    <t xml:space="preserve">peek_showtimes, booking_requests, heading: agentic specialization, release_date, less_than_equal, input_value, input_type, model_3, union_agent, incomplete_model, seat_agent, booking_agent</t>
  </si>
  <si>
    <t xml:space="preserve">R-428</t>
  </si>
  <si>
    <t xml:space="preserve">10 - 26 Jul - Tools Deep Dive.md</t>
  </si>
  <si>
    <t xml:space="preserve">classes_summary/10 - 26 Jul - Tools Deep Dive.md</t>
  </si>
  <si>
    <t xml:space="preserve">🛠️ Class 10 — Tools Deep Dive: Giving CineBot Hands</t>
  </si>
  <si>
    <t xml:space="preserve">agentic-ai:ch5 (22), agentic-ai:ch6 (9), agentic-ai:ch10 (9)</t>
  </si>
  <si>
    <t xml:space="preserve">heading: direct model rephras skipp, heading: around entirely gat instruct, heading: build toward tripmate, save_favourite_genre, heading: agentic specialization, get_last_movie_mentioned, get_exact_refund_policy, fixed_tool, broken_tool, memory_agent, gated_agent</t>
  </si>
  <si>
    <t xml:space="preserve">R-429</t>
  </si>
  <si>
    <t xml:space="preserve">11 - 01 Aug - Agents, Middleware &amp; Memory.md</t>
  </si>
  <si>
    <t xml:space="preserve">classes_summary/11 - 01 Aug - Agents, Middleware &amp; Memory.md</t>
  </si>
  <si>
    <t xml:space="preserve">🤖 Class 11 — Agents, Middleware &amp; Memory: Giving CineBot a Mind</t>
  </si>
  <si>
    <t xml:space="preserve">agentic-ai:ch10 (15), agentic-ai:ch18 (13), agentic-ai:ch8 (13)</t>
  </si>
  <si>
    <t xml:space="preserve">run_interactive_hitl_demo, invoke2, heading: middleware restat whiteboard, heading: cinebot module toolset, heading: agentic specialization, save_trip_demo, check_order_status, your_send_email_tool, resumed_result</t>
  </si>
  <si>
    <t xml:space="preserve">R-430</t>
  </si>
  <si>
    <t xml:space="preserve">12 - 08 Aug - Mastering Middleware.md</t>
  </si>
  <si>
    <t xml:space="preserve">classes_summary/12 - 08 Aug - Mastering Middleware.md</t>
  </si>
  <si>
    <t xml:space="preserve">🧵 Class 12 — Mastering Middleware: Limits, Fallback, PII, Retry &amp; Tool Emulation</t>
  </si>
  <si>
    <t xml:space="preserve">agentic-ai:ch7 (27), agentic-ai:ch8 (27), agentic-ai:ch20 (21)</t>
  </si>
  <si>
    <t xml:space="preserve">heading: agentic specialization, b102, b101, b100, resilient_agent, last_called, flaky_showtime_check_time</t>
  </si>
  <si>
    <t xml:space="preserve">R-431</t>
  </si>
  <si>
    <t xml:space="preserve">13 - 09 Aug - Guardrails, Todo Lists &amp; Tool Resilience.md</t>
  </si>
  <si>
    <t xml:space="preserve">classes_summary/13 - 09 Aug - Guardrails, Todo Lists &amp; Tool Resilience.md</t>
  </si>
  <si>
    <t xml:space="preserve">🛡️ Class 13 — Guardrails, Todo Lists, Tool Selection &amp; Resilient Tools</t>
  </si>
  <si>
    <t xml:space="preserve">agentic-ai:ch8 (36), agentic-ai:ch7 (17), agentic-ai:cheat (11)</t>
  </si>
  <si>
    <t xml:space="preserve">heading: depth detection revisit, heading: agentic specialization</t>
  </si>
  <si>
    <t xml:space="preserve">R-432</t>
  </si>
  <si>
    <t xml:space="preserve">14 - 16 Aug - Shell Tools &amp; Custom Middleware.md</t>
  </si>
  <si>
    <t xml:space="preserve">classes_summary/14 - 16 Aug - Shell Tools &amp; Custom Middleware.md</t>
  </si>
  <si>
    <t xml:space="preserve">🐚 Class 14 — Shell Tools &amp; Writing Custom Middleware From Scratch</t>
  </si>
  <si>
    <t xml:space="preserve">agentic-ai:ch9 (34), agentic-ai:ch7 (12), agentic-ai:home (10)</t>
  </si>
  <si>
    <t xml:space="preserve">heading: custom middleware necessary, heading: agentic specialization, get_booking, custom_middleware, chosen_model</t>
  </si>
  <si>
    <t xml:space="preserve">R-433</t>
  </si>
  <si>
    <t xml:space="preserve">15 - 22 Aug - Runtime &amp; Human-in-the-Loop.md</t>
  </si>
  <si>
    <t xml:space="preserve">classes_summary/15 - 22 Aug - Runtime &amp; Human-in-the-Loop.md</t>
  </si>
  <si>
    <t xml:space="preserve">🧠 Class 15 — Runtime Deep Dive &amp; Human-in-the-Loop in Depth</t>
  </si>
  <si>
    <t xml:space="preserve">agentic-ai:ch10 (37), agentic-ai:ch7 (14), agentic-ai:ch6 (12)</t>
  </si>
  <si>
    <t xml:space="preserve">R-434</t>
  </si>
  <si>
    <t xml:space="preserve">16 - 23 Aug - MCP Introduction.md</t>
  </si>
  <si>
    <t xml:space="preserve">classes_summary/16 - 23 Aug - MCP Introduction.md</t>
  </si>
  <si>
    <t xml:space="preserve">agentic-ai:ch11 (8), agentic-ai:ch12 (6), agentic-ai:ch13 (5)</t>
  </si>
  <si>
    <t xml:space="preserve">heading: agentic specialization, heading: highlight</t>
  </si>
  <si>
    <t xml:space="preserve">R-435</t>
  </si>
  <si>
    <t xml:space="preserve">17 - 6 Sep - MCP Primitives, Architecture &amp; Wiretap.md</t>
  </si>
  <si>
    <t xml:space="preserve">classes_summary/17 - 6 Sep - MCP Primitives, Architecture &amp; Wiretap.md</t>
  </si>
  <si>
    <t xml:space="preserve">agentic-ai:ch12 (7), agentic-ai:ch11 (6), agentic-ai:ch13 (5)</t>
  </si>
  <si>
    <t xml:space="preserve">heading: agentic specialization, mcp_wiretap_no_color</t>
  </si>
  <si>
    <t xml:space="preserve">R-436</t>
  </si>
  <si>
    <t xml:space="preserve">18 - 12-13 Sep - Building &amp; Deploying MCP Servers.md</t>
  </si>
  <si>
    <t xml:space="preserve">classes_summary/18 - 12-13 Sep - Building &amp; Deploying MCP Servers.md</t>
  </si>
  <si>
    <t xml:space="preserve">agentic-ai:ch16 (14), agentic-ai:ch15 (11), agentic-ai:ch14 (7)</t>
  </si>
  <si>
    <t xml:space="preserve">heading: interface multi timetrack, heading: enter picture, heading: agentic specialization, search_for_quick_recipes, stdio_server</t>
  </si>
  <si>
    <t xml:space="preserve">R-437</t>
  </si>
  <si>
    <t xml:space="preserve">classes_transcription_summary</t>
  </si>
  <si>
    <t xml:space="preserve">00 - 21 June - Course Induction &amp; Roadmap.md</t>
  </si>
  <si>
    <t xml:space="preserve">classes_transcription_summary/00 - 21 June - Course Induction &amp; Roadmap.md</t>
  </si>
  <si>
    <t xml:space="preserve">🚀 Agentic AI 3.0 Specialization with AgentOps</t>
  </si>
  <si>
    <t xml:space="preserve">agentic-ai:home (7), agentic-ai:ch16 (4), agentic-ai:ch18 (4)</t>
  </si>
  <si>
    <t xml:space="preserve">heading: glance schedule, heading: communication platform rules, heading: academy induction krish session</t>
  </si>
  <si>
    <t xml:space="preserve">High</t>
  </si>
  <si>
    <t xml:space="preserve">R-438</t>
  </si>
  <si>
    <t xml:space="preserve">01 - 27 June - Python Setup &amp; API Basics.md</t>
  </si>
  <si>
    <t xml:space="preserve">classes_transcription_summary/01 - 27 June - Python Setup &amp; API Basics.md</t>
  </si>
  <si>
    <t xml:space="preserve">🐍 Class 1: Python for AI — Dev Environment &amp; Fundamentals</t>
  </si>
  <si>
    <t xml:space="preserve">foundations:f1 (5), agentic-ai:ch1 (5), agentic-ai:ch18 (5)</t>
  </si>
  <si>
    <t xml:space="preserve">heading: jupyter notebook, heading: bonus referral shar, heading: academy agentic krish specialization</t>
  </si>
  <si>
    <t xml:space="preserve">R-439</t>
  </si>
  <si>
    <t xml:space="preserve">02 - 28 June - Python Refresher.md</t>
  </si>
  <si>
    <t xml:space="preserve">classes_transcription_summary/02 - 28 June - Python Refresher.md</t>
  </si>
  <si>
    <t xml:space="preserve">🧱 Class 2: Python Refresher — OOP, Decorators &amp; Pydantic</t>
  </si>
  <si>
    <t xml:space="preserve">foundations:f1 (10), agentic-ai:ch18 (7), agentic-ai:ch2 (6)</t>
  </si>
  <si>
    <t xml:space="preserve">heading: housekeep window, heading: boilerplate dataclass kill, update_user, heading: academy agentic krish specialization, pages_read</t>
  </si>
  <si>
    <t xml:space="preserve">R-440</t>
  </si>
  <si>
    <t xml:space="preserve">classes_transcription_summary/03 - 4 Jul - Pydantic Deep Dive.md</t>
  </si>
  <si>
    <t xml:space="preserve">🛡️ Class 3: Pydantic Deep Dive + AI Foundations</t>
  </si>
  <si>
    <t xml:space="preserve">pydantic:glossary (15), pydantic:p4 (13), pydantic:cheat (12)</t>
  </si>
  <si>
    <t xml:space="preserve">heading: language large model, heading: everyone foundation terms, heading: embedding vector, heading: deeper exist pydantic, heading: currency token, heading: blueprint define three, portfolio_url, check_passwords_match, check_length, heading: academy agentic krish specialization, heading: highlight, usermodel</t>
  </si>
  <si>
    <t xml:space="preserve">R-441</t>
  </si>
  <si>
    <t xml:space="preserve">classes_transcription_summary/04 - 5 Jul - Anatomy of an Agent.md</t>
  </si>
  <si>
    <t xml:space="preserve">🤖 Class 4: LLMs Are Stateless &amp; The Anatomy of an Agent</t>
  </si>
  <si>
    <t xml:space="preserve">foundations:f1 (6), agentic-ai:ch2 (4), agentic-ai:ch3 (4)</t>
  </si>
  <si>
    <t xml:space="preserve">heading: insight, heading: framework illustration purely taught visual workflow, heading: academy agentic krish specialization</t>
  </si>
  <si>
    <t xml:space="preserve">R-442</t>
  </si>
  <si>
    <t xml:space="preserve">05 - 11 Jul - The Agentic Loop (Pure Python).md</t>
  </si>
  <si>
    <t xml:space="preserve">classes_transcription_summary/05 - 11 Jul - The Agentic Loop (Pure Python).md</t>
  </si>
  <si>
    <t xml:space="preserve">🔁 Class 5: Building Real Agents in Pure Python — The Agentic Loop</t>
  </si>
  <si>
    <t xml:space="preserve">agentic-ai:ch3 (9), agentic-ai:ch11 (7), agentic-ai:glossary (7)</t>
  </si>
  <si>
    <t xml:space="preserve">heading: cutoff event knowledge model recent, tool_args, no_tool_call, call_ai, heading: academy agentic krish specialization, python_and_agents, prompt_tokens, completion_tokens</t>
  </si>
  <si>
    <t xml:space="preserve">R-443</t>
  </si>
  <si>
    <t xml:space="preserve">classes_transcription_summary/06 - 12 Jul - Introduction to LangChain.md</t>
  </si>
  <si>
    <t xml:space="preserve">🔗 Class 6: LangChain Begins — From Raw Python to `create_agent()`</t>
  </si>
  <si>
    <t xml:space="preserve">agentic-ai:ch1 (11), agentic-ai:ch2 (9), agentic-ai:ch19 (7)</t>
  </si>
  <si>
    <t xml:space="preserve">heading: advice career detour, heading: actually convenience happen peel, heading: academy agentic krish specialization, python_and_agents, prompt_tokens, completion_tokens</t>
  </si>
  <si>
    <t xml:space="preserve">R-444</t>
  </si>
  <si>
    <t xml:space="preserve">classes_transcription_summary/07 - 18 Jul - LangChain Family &amp; Harness Engineering.md</t>
  </si>
  <si>
    <t xml:space="preserve">🚗 Class 7: The LangChain Family, Harness Engineering &amp; First Models</t>
  </si>
  <si>
    <t xml:space="preserve">agentic-ai:ch2 (23), agentic-ai:ch1 (15), agentic-ai:ch3 (12)</t>
  </si>
  <si>
    <t xml:space="preserve">heading: family langchain offering, heading: component div model, heading: academy agentic krish specialization</t>
  </si>
  <si>
    <t xml:space="preserve">R-445</t>
  </si>
  <si>
    <t xml:space="preserve">08 - 19 Jul - LangChain - Inside the Model.md</t>
  </si>
  <si>
    <t xml:space="preserve">classes_transcription_summary/08 - 19 Jul - LangChain - Inside the Model.md</t>
  </si>
  <si>
    <t xml:space="preserve">🧠 Class 8: Inside the Model — Parameters, Streaming, Tools &amp; Structured Output</t>
  </si>
  <si>
    <t xml:space="preserve">agentic-ai:ch3 (27), agentic-ai:cheat (16), agentic-ai:glossary (14)</t>
  </si>
  <si>
    <t xml:space="preserve">heading: picture realization, heading: fram going langchain minute tutorial, heading: academy agentic krish specialization, new_pass</t>
  </si>
  <si>
    <t xml:space="preserve">R-446</t>
  </si>
  <si>
    <t xml:space="preserve">09 - 25 Jul - LangChain - Structured Output Mastery.md</t>
  </si>
  <si>
    <t xml:space="preserve">classes_transcription_summary/09 - 25 Jul - LangChain - Structured Output Mastery.md</t>
  </si>
  <si>
    <t xml:space="preserve">🎬 Class 9: Structured Output Mastery — Building CineBot</t>
  </si>
  <si>
    <t xml:space="preserve">agentic-ai:ch4 (26), agentic-ai:ch3 (11), agentic-ai:cheat (11)</t>
  </si>
  <si>
    <t xml:space="preserve">heading: academy agentic krish specialization, schemab, schemaa</t>
  </si>
  <si>
    <t xml:space="preserve">R-447</t>
  </si>
  <si>
    <t xml:space="preserve">10 - 26 Jul - LangChain - Tools Deep Dive.md</t>
  </si>
  <si>
    <t xml:space="preserve">classes_transcription_summary/10 - 26 Jul - LangChain - Tools Deep Dive.md</t>
  </si>
  <si>
    <t xml:space="preserve">🛠️ Class 10: Tools Deep Dive — Giving CineBot Hands</t>
  </si>
  <si>
    <t xml:space="preserve">agentic-ai:ch5 (33), agentic-ai:ch10 (15), agentic-ai:ch18 (12)</t>
  </si>
  <si>
    <t xml:space="preserve">heading: customiz description, yourmodel, heading: academy agentic krish specialization</t>
  </si>
  <si>
    <t xml:space="preserve">R-448</t>
  </si>
  <si>
    <t xml:space="preserve">11 - 01 Aug - LangChain - Agents, Memory, Middleware.md</t>
  </si>
  <si>
    <t xml:space="preserve">classes_transcription_summary/11 - 01 Aug - LangChain - Agents, Memory, Middleware.md</t>
  </si>
  <si>
    <t xml:space="preserve">🤖 Class 11: Agents, Middleware &amp; Memory — Giving CineBot a Mind</t>
  </si>
  <si>
    <t xml:space="preserve">agentic-ai:ch6 (25), agentic-ai:ch5 (11), agentic-ai:ch8 (11)</t>
  </si>
  <si>
    <t xml:space="preserve">heading: analogy revisit, heading: academy agentic krish specialization</t>
  </si>
  <si>
    <t xml:space="preserve">R-449</t>
  </si>
  <si>
    <t xml:space="preserve">12 - 08 Aug - LangChain - Mastering Middleware.md</t>
  </si>
  <si>
    <t xml:space="preserve">classes_transcription_summary/12 - 08 Aug - LangChain - Mastering Middleware.md</t>
  </si>
  <si>
    <t xml:space="preserve">🧵 Class 12: Mastering Middleware — Control, Guardrails &amp; Human-in-the-Loop</t>
  </si>
  <si>
    <t xml:space="preserve">agentic-ai:ch7 (23), agentic-ai:ch18 (13), agentic-ai:ch8 (13)</t>
  </si>
  <si>
    <t xml:space="preserve">heading: academy agentic krish specialization</t>
  </si>
  <si>
    <t xml:space="preserve">R-450</t>
  </si>
  <si>
    <t xml:space="preserve">13 - 09 Aug - LangChain - Middlware &amp; Tools.md</t>
  </si>
  <si>
    <t xml:space="preserve">classes_transcription_summary/13 - 09 Aug - LangChain - Middlware &amp; Tools.md</t>
  </si>
  <si>
    <t xml:space="preserve">🛡️ Class 13: Guardrails, Todo Lists, Tool Selection &amp; Resilient Tools</t>
  </si>
  <si>
    <t xml:space="preserve">agentic-ai:ch8 (37), agentic-ai:ch7 (24), agentic-ai:cheat (16)</t>
  </si>
  <si>
    <t xml:space="preserve">heading: fourth recap strategi, heading: depth detection revisit</t>
  </si>
  <si>
    <t xml:space="preserve">R-451</t>
  </si>
  <si>
    <t xml:space="preserve">14 - 16 Aug - LangChain - Shell Tools &amp; Custom Middleware.md</t>
  </si>
  <si>
    <t xml:space="preserve">classes_transcription_summary/14 - 16 Aug - LangChain - Shell Tools &amp; Custom Middleware.md</t>
  </si>
  <si>
    <t xml:space="preserve">🐚 Class 14: Shell Tools &amp; Writing Custom Middleware From Scratch</t>
  </si>
  <si>
    <t xml:space="preserve">agentic-ai:ch9 (35), agentic-ai:ch10 (16), agentic-ai:ch7 (15)</t>
  </si>
  <si>
    <t xml:space="preserve">heading: custom middleware necessary, trace_layer, mypiimiddleware</t>
  </si>
  <si>
    <t xml:space="preserve">R-452</t>
  </si>
  <si>
    <t xml:space="preserve">15 - 22 Aug - LangChain - Runtime &amp; Human-in-loop.md</t>
  </si>
  <si>
    <t xml:space="preserve">classes_transcription_summary/15 - 22 Aug - LangChain - Runtime &amp; Human-in-loop.md</t>
  </si>
  <si>
    <t xml:space="preserve">🧠 Class 15: Runtime Deep Dive &amp; Human-in-the-Loop in Depth</t>
  </si>
  <si>
    <t xml:space="preserve">agentic-ai:ch10 (35), agentic-ai:ch7 (17), agentic-ai:ch5 (15)</t>
  </si>
  <si>
    <t xml:space="preserve">heading: decision fourth respond, heading: amazon executive fram world</t>
  </si>
  <si>
    <t xml:space="preserve">R-453</t>
  </si>
  <si>
    <t xml:space="preserve">classes_transcription_summary/16 - 23 Aug - MCP Introduction.md</t>
  </si>
  <si>
    <t xml:space="preserve">🔌 MCP Class 1: Why MCP Had to Exist</t>
  </si>
  <si>
    <t xml:space="preserve">agentic-ai:ch11 (9), agentic-ai:ch12 (6), agentic-ai:ch16 (6)</t>
  </si>
  <si>
    <t xml:space="preserve">heading: additional companion, heading: highlight</t>
  </si>
  <si>
    <t xml:space="preserve">R-454</t>
  </si>
  <si>
    <t xml:space="preserve">17 - 5 Sep - MCP Deep Dive — Primitives, Lifecycle &amp; JSON-RPC.md</t>
  </si>
  <si>
    <t xml:space="preserve">classes_transcription_summary/17 - 5 Sep - MCP Deep Dive — Primitives, Lifecycle &amp; JSON-RPC.md</t>
  </si>
  <si>
    <t xml:space="preserve">🔌 Class 17: MCP Deep Dive — Primitives, Lifecycle &amp; JSON-RPC</t>
  </si>
  <si>
    <t xml:space="preserve">agentic-ai:ch12 (22), agentic-ai:ch14 (10), agentic-ai:ch11 (9)</t>
  </si>
  <si>
    <t xml:space="preserve">heading: academy agentic krish specialization, heading: highlight</t>
  </si>
  <si>
    <t xml:space="preserve">R-455</t>
  </si>
  <si>
    <t xml:space="preserve">18 - 6 Sep - MCP Capability Negotiation.md</t>
  </si>
  <si>
    <t xml:space="preserve">classes_transcription_summary/18 - 6 Sep - MCP Capability Negotiation.md</t>
  </si>
  <si>
    <t xml:space="preserve">🔓 Class 18: Capability Negotiation, Operation &amp; MCP in the Real World</t>
  </si>
  <si>
    <t xml:space="preserve">agentic-ai:ch13 (18), agentic-ai:ch12 (10), agentic-ai:ch18 (7)</t>
  </si>
  <si>
    <t xml:space="preserve">heading: discuss genuine privacy trade, heading: debugg spotlight watch, heading: correction deprecation, heading: academy agentic krish specialization, heading: highlight</t>
  </si>
  <si>
    <t xml:space="preserve">R-456</t>
  </si>
  <si>
    <t xml:space="preserve">19 - 12 Sep - MCP - Shutdown, Transport Layer.md</t>
  </si>
  <si>
    <t xml:space="preserve">classes_transcription_summary/19 - 12 Sep - MCP - Shutdown, Transport Layer.md</t>
  </si>
  <si>
    <t xml:space="preserve">🛠️ Class 19: Shutdown, Transport Layer &amp; Building Your First Real MCP Server</t>
  </si>
  <si>
    <t xml:space="preserve">agentic-ai:ch14 (25), agentic-ai:ch11 (17), agentic-ai:ch18 (12)</t>
  </si>
  <si>
    <t xml:space="preserve">heading: ground quick recap, heading: genuinely illuminat, heading: correction history little remember worth, your_file, heading: academy agentic krish specialization, heading: highlight</t>
  </si>
  <si>
    <t xml:space="preserve">R-457</t>
  </si>
  <si>
    <t xml:space="preserve">20 - 13 Sep - MCP - The Time Tracker Project.md</t>
  </si>
  <si>
    <t xml:space="preserve">classes_transcription_summary/20 - 13 Sep - MCP - The Time Tracker Project.md</t>
  </si>
  <si>
    <t xml:space="preserve">🕐 Class 20: The Time Tracker Project — Wrapping a Real API in MCP</t>
  </si>
  <si>
    <t xml:space="preserve">agentic-ai:ch15 (29), agentic-ai:ch16 (24), agentic-ai:ch17 (10)</t>
  </si>
  <si>
    <t xml:space="preserve">heading: choos preserv worth, heading: academy agentic krish specialization, heading: highlight</t>
  </si>
  <si>
    <t xml:space="preserve">R-458</t>
  </si>
  <si>
    <t xml:space="preserve">21 - 19 Sep - MCP Deployment.md</t>
  </si>
  <si>
    <t xml:space="preserve">classes_transcription_summary/21 - 19 Sep - MCP Deployment.md</t>
  </si>
  <si>
    <t xml:space="preserve">🤖 Class 21: Taking an MCP Server Live: Deployment, Real Code, and Building Your Own Client</t>
  </si>
  <si>
    <t xml:space="preserve">agentic-ai:ch16 (33), agentic-ai:ch15 (18), agentic-ai:ch17 (11)</t>
  </si>
  <si>
    <t xml:space="preserve">heading: simpler, heading: engineer fram harnes, heading: correctly together wired, heading: build client necessary, heading: academy agentic krish specialization, serve_index, api_list_entries</t>
  </si>
  <si>
    <t xml:space="preserve">R-459</t>
  </si>
  <si>
    <t xml:space="preserve">22 - 20 Sep - Legacy vs Modern MCP.md</t>
  </si>
  <si>
    <t xml:space="preserve">classes_transcription_summary/22 - 20 Sep - Legacy vs Modern MCP.md</t>
  </si>
  <si>
    <t xml:space="preserve">🔀 Class 22: Legacy vs. Modern MCP — What Actually Changed</t>
  </si>
  <si>
    <t xml:space="preserve">agentic-ai:ch17 (21), agentic-ai:ch16 (12), agentic-ai:ch18 (10)</t>
  </si>
  <si>
    <t xml:space="preserve">heading: before panick timeline, heading: academy agentic krish specialization, heading: highlight</t>
  </si>
  <si>
    <t xml:space="preserve">R-460</t>
  </si>
  <si>
    <t xml:space="preserve">23 - 27 Sep - MCP In LangChain.md</t>
  </si>
  <si>
    <t xml:space="preserve">classes_transcription_summary/23 - 27 Sep - MCP In LangChain.md</t>
  </si>
  <si>
    <t xml:space="preserve">🔗 Class 23: LangChain MCP Adapters &amp; Why Multi-Agent Architecture Exists</t>
  </si>
  <si>
    <t xml:space="preserve">NOT READ</t>
  </si>
  <si>
    <t xml:space="preserve">agentic-ai:ch18 (13), agentic-ai:ch11 (11), agentic-ai:ch16 (9)</t>
  </si>
  <si>
    <t xml:space="preserve">heading: choos orchestrator, heading: bloat context watch, heading: agent juggl problem, heading: academy agentic krish specialization, heading: highlight</t>
  </si>
  <si>
    <t xml:space="preserve">R-461</t>
  </si>
  <si>
    <t xml:space="preserve">Readme.md</t>
  </si>
  <si>
    <t xml:space="preserve">classes_transcription_summary/Readme.md</t>
  </si>
  <si>
    <t xml:space="preserve">Mayank's notes</t>
  </si>
  <si>
    <t xml:space="preserve">foundations:f1 (2), agentic-ai:ch18 (2), agentic-ai:ch19 (2)</t>
  </si>
  <si>
    <t xml:space="preserve">R-462</t>
  </si>
  <si>
    <t xml:space="preserve">glossary.md</t>
  </si>
  <si>
    <t xml:space="preserve">classes_transcription_summary/glossary.md</t>
  </si>
  <si>
    <t xml:space="preserve">Glossary — Agentic AI 3.0 (Krish Naik Academy)</t>
  </si>
  <si>
    <t xml:space="preserve">agentic-ai:cheat (18), agentic-ai:glossary (18), agentic-ai:ch10 (14)</t>
  </si>
  <si>
    <t xml:space="preserve">schemab, schemaa</t>
  </si>
  <si>
    <t xml:space="preserve">R-463</t>
  </si>
  <si>
    <t xml:space="preserve">interview-questions</t>
  </si>
  <si>
    <t xml:space="preserve">mcp.md</t>
  </si>
  <si>
    <t xml:space="preserve">interview-questions/mcp.md</t>
  </si>
  <si>
    <t xml:space="preserve">MCP Interview Questions</t>
  </si>
  <si>
    <t xml:space="preserve">agentic-ai:ch16 (11), agentic-ai:ch17 (8), agentic-ai:ch13 (5)</t>
  </si>
  <si>
    <t xml:space="preserve">heading: agent authn authz handle server</t>
  </si>
  <si>
    <t xml:space="preserve">R-464</t>
  </si>
  <si>
    <t xml:space="preserve">scripts</t>
  </si>
  <si>
    <t xml:space="preserve">check_repo_paths.py</t>
  </si>
  <si>
    <t xml:space="preserve">scripts/check_repo_paths.py</t>
  </si>
  <si>
    <t xml:space="preserve">Fail if anything in this repo would break `git clone` / `git pull` on Windows, macOS or Linux.</t>
  </si>
  <si>
    <t xml:space="preserve">foundations:f1 (6), agentic-ai:ch2 (3), agentic-ai:ch6 (3)</t>
  </si>
  <si>
    <t xml:space="preserve">skip_dirs, max_path_warn, max_path_error, max_file_mb, junk_names, capture_output</t>
  </si>
  <si>
    <t xml:space="preserve">Add the missing concepts to decide</t>
  </si>
  <si>
    <t xml:space="preserve">L-001</t>
  </si>
  <si>
    <t xml:space="preserve">Other product</t>
  </si>
  <si>
    <t xml:space="preserve">Build</t>
  </si>
  <si>
    <t xml:space="preserve">docs.langchain.com/build-overview</t>
  </si>
  <si>
    <t xml:space="preserve">NOT READ (other product)</t>
  </si>
  <si>
    <t xml:space="preserve">Low</t>
  </si>
  <si>
    <t xml:space="preserve">outside the LangChain book</t>
  </si>
  <si>
    <t xml:space="preserve">L-002</t>
  </si>
  <si>
    <t xml:space="preserve">Managed Deep Agents</t>
  </si>
  <si>
    <t xml:space="preserve">docs.langchain.com/langsmith/python/managed-deep-agents-overview</t>
  </si>
  <si>
    <t xml:space="preserve">L-003</t>
  </si>
  <si>
    <t xml:space="preserve">Managed Deep Agents quickstart</t>
  </si>
  <si>
    <t xml:space="preserve">docs.langchain.com/langsmith/python/managed-deep-agents-quickstart</t>
  </si>
  <si>
    <t xml:space="preserve">L-004</t>
  </si>
  <si>
    <t xml:space="preserve">Managed Deep Agents project structure</t>
  </si>
  <si>
    <t xml:space="preserve">docs.langchain.com/langsmith/python/managed-deep-agents-project-structure</t>
  </si>
  <si>
    <t xml:space="preserve">L-005</t>
  </si>
  <si>
    <t xml:space="preserve">Move from Deep Agents to Managed Deep Agents</t>
  </si>
  <si>
    <t xml:space="preserve">docs.langchain.com/langsmith/python/managed-deep-agents-migrate</t>
  </si>
  <si>
    <t xml:space="preserve">L-006</t>
  </si>
  <si>
    <t xml:space="preserve">Define a Managed Deep Agent</t>
  </si>
  <si>
    <t xml:space="preserve">docs.langchain.com/langsmith/python/managed-deep-agents-agent-definition</t>
  </si>
  <si>
    <t xml:space="preserve">L-007</t>
  </si>
  <si>
    <t xml:space="preserve">Add instructions to Managed Deep Agents</t>
  </si>
  <si>
    <t xml:space="preserve">docs.langchain.com/langsmith/python/managed-deep-agents-instructions</t>
  </si>
  <si>
    <t xml:space="preserve">L-008</t>
  </si>
  <si>
    <t xml:space="preserve">Add skills to Managed Deep Agents</t>
  </si>
  <si>
    <t xml:space="preserve">docs.langchain.com/langsmith/python/managed-deep-agents-skills</t>
  </si>
  <si>
    <t xml:space="preserve">L-009</t>
  </si>
  <si>
    <t xml:space="preserve">Add custom tools to Managed Deep Agents</t>
  </si>
  <si>
    <t xml:space="preserve">docs.langchain.com/langsmith/python/managed-deep-agents-tools</t>
  </si>
  <si>
    <t xml:space="preserve">L-010</t>
  </si>
  <si>
    <t xml:space="preserve">Built-in search powered by Parallel</t>
  </si>
  <si>
    <t xml:space="preserve">docs.langchain.com/langsmith/python/managed-deep-agents-search</t>
  </si>
  <si>
    <t xml:space="preserve">L-011</t>
  </si>
  <si>
    <t xml:space="preserve">Manage connections</t>
  </si>
  <si>
    <t xml:space="preserve">docs.langchain.com/langsmith/python/managed-deep-agents-connections</t>
  </si>
  <si>
    <t xml:space="preserve">L-012</t>
  </si>
  <si>
    <t xml:space="preserve">Connect to MCP servers</t>
  </si>
  <si>
    <t xml:space="preserve">docs.langchain.com/langsmith/python/managed-deep-agents-mcp-connectors</t>
  </si>
  <si>
    <t xml:space="preserve">L-013</t>
  </si>
  <si>
    <t xml:space="preserve">Add custom middleware to Managed Deep Agents</t>
  </si>
  <si>
    <t xml:space="preserve">docs.langchain.com/langsmith/python/managed-deep-agents-middleware</t>
  </si>
  <si>
    <t xml:space="preserve">L-014</t>
  </si>
  <si>
    <t xml:space="preserve">Add memory to Managed Deep Agents</t>
  </si>
  <si>
    <t xml:space="preserve">docs.langchain.com/langsmith/python/managed-deep-agents-memory</t>
  </si>
  <si>
    <t xml:space="preserve">L-015</t>
  </si>
  <si>
    <t xml:space="preserve">Add a sandbox to Managed Deep Agents</t>
  </si>
  <si>
    <t xml:space="preserve">docs.langchain.com/langsmith/python/managed-deep-agents-sandboxes</t>
  </si>
  <si>
    <t xml:space="preserve">L-016</t>
  </si>
  <si>
    <t xml:space="preserve">Browser use</t>
  </si>
  <si>
    <t xml:space="preserve">docs.langchain.com/langsmith/python/managed-deep-agents-browser-use</t>
  </si>
  <si>
    <t xml:space="preserve">L-017</t>
  </si>
  <si>
    <t xml:space="preserve">Subagents</t>
  </si>
  <si>
    <t xml:space="preserve">docs.langchain.com/langsmith/python/managed-deep-agents-subagents</t>
  </si>
  <si>
    <t xml:space="preserve">L-018</t>
  </si>
  <si>
    <t xml:space="preserve">Add identity to Managed Deep Agents</t>
  </si>
  <si>
    <t xml:space="preserve">docs.langchain.com/langsmith/python/managed-deep-agents-identity</t>
  </si>
  <si>
    <t xml:space="preserve">L-019</t>
  </si>
  <si>
    <t xml:space="preserve">Add schedules to Managed Deep Agents</t>
  </si>
  <si>
    <t xml:space="preserve">docs.langchain.com/langsmith/python/managed-deep-agents-schedules</t>
  </si>
  <si>
    <t xml:space="preserve">L-020</t>
  </si>
  <si>
    <t xml:space="preserve">Evaluate Managed Deep Agents</t>
  </si>
  <si>
    <t xml:space="preserve">docs.langchain.com/langsmith/python/managed-deep-agents-evals</t>
  </si>
  <si>
    <t xml:space="preserve">L-021</t>
  </si>
  <si>
    <t xml:space="preserve">Managed Deep Agents runtime</t>
  </si>
  <si>
    <t xml:space="preserve">docs.langchain.com/langsmith/python/managed-deep-agents-runtime</t>
  </si>
  <si>
    <t xml:space="preserve">L-022</t>
  </si>
  <si>
    <t xml:space="preserve">Connect Managed Deep Agents to channels</t>
  </si>
  <si>
    <t xml:space="preserve">docs.langchain.com/langsmith/python/managed-deep-agents-channels</t>
  </si>
  <si>
    <t xml:space="preserve">L-023</t>
  </si>
  <si>
    <t xml:space="preserve">Connect a Managed Deep Agent to Slack</t>
  </si>
  <si>
    <t xml:space="preserve">docs.langchain.com/langsmith/python/managed-deep-agents-channels-slack</t>
  </si>
  <si>
    <t xml:space="preserve">L-024</t>
  </si>
  <si>
    <t xml:space="preserve">Connect a Managed Deep Agent over HTTP</t>
  </si>
  <si>
    <t xml:space="preserve">docs.langchain.com/langsmith/python/managed-deep-agents-channels-http</t>
  </si>
  <si>
    <t xml:space="preserve">L-025</t>
  </si>
  <si>
    <t xml:space="preserve">Prompt Slack users with agent-owned interrupts</t>
  </si>
  <si>
    <t xml:space="preserve">docs.langchain.com/langsmith/python/managed-deep-agents-agent-owned-interrupts</t>
  </si>
  <si>
    <t xml:space="preserve">L-026</t>
  </si>
  <si>
    <t xml:space="preserve">Develop locally with LangSmith Studio</t>
  </si>
  <si>
    <t xml:space="preserve">docs.langchain.com/langsmith/python/managed-deep-agents-local-development</t>
  </si>
  <si>
    <t xml:space="preserve">L-027</t>
  </si>
  <si>
    <t xml:space="preserve">Add a custom search tool, memory, and a schedule</t>
  </si>
  <si>
    <t xml:space="preserve">docs.langchain.com/langsmith/python/managed-deep-agents-tutorial</t>
  </si>
  <si>
    <t xml:space="preserve">L-028</t>
  </si>
  <si>
    <t xml:space="preserve">Deploy a Managed Deep Agent</t>
  </si>
  <si>
    <t xml:space="preserve">docs.langchain.com/langsmith/python/managed-deep-agents-deploy</t>
  </si>
  <si>
    <t xml:space="preserve">L-029</t>
  </si>
  <si>
    <t xml:space="preserve">Connect MCP clients to a Managed Deep Agent</t>
  </si>
  <si>
    <t xml:space="preserve">docs.langchain.com/langsmith/python/managed-deep-agents-mcp-endpoint</t>
  </si>
  <si>
    <t xml:space="preserve">L-030</t>
  </si>
  <si>
    <t xml:space="preserve">Build a custom frontend for a Managed Deep Agent</t>
  </si>
  <si>
    <t xml:space="preserve">docs.langchain.com/langsmith/python/managed-deep-agents-custom-frontend</t>
  </si>
  <si>
    <t xml:space="preserve">L-031</t>
  </si>
  <si>
    <t xml:space="preserve">Manage Context Hub for Managed Deep Agents</t>
  </si>
  <si>
    <t xml:space="preserve">docs.langchain.com/langsmith/python/managed-deep-agents-context-hub</t>
  </si>
  <si>
    <t xml:space="preserve">L-032</t>
  </si>
  <si>
    <t xml:space="preserve">Managed Deep Agents CLI reference</t>
  </si>
  <si>
    <t xml:space="preserve">docs.langchain.com/langsmith/python/managed-deep-agents-cli</t>
  </si>
  <si>
    <t xml:space="preserve">L-033</t>
  </si>
  <si>
    <t xml:space="preserve">Deep Agents overview</t>
  </si>
  <si>
    <t xml:space="preserve">docs.langchain.com/oss/python/deepagents/overview</t>
  </si>
  <si>
    <t xml:space="preserve">Deep Agents overview - Agent harness for planning, subagents, and file-system context, available as Managed Deep Agents or the Deep Agents SDK</t>
  </si>
  <si>
    <t xml:space="preserve">agentic-ai:ch2 (22), agentic-ai:ch7 (21), agentic-ai:ch1 (15)</t>
  </si>
  <si>
    <t xml:space="preserve">excluded_tools, heading: filesystem permission, heading: context offload summarization, sandboxbackendprotocolv2, register_harness_profile, in_progress, excluded_middleware, harnessprofile, filesystembackend, storebackend</t>
  </si>
  <si>
    <t xml:space="preserve">outside the LangChain book (LangGraph / other product / reference)</t>
  </si>
  <si>
    <t xml:space="preserve">L-034</t>
  </si>
  <si>
    <t xml:space="preserve">Deep Agents quickstart</t>
  </si>
  <si>
    <t xml:space="preserve">docs.langchain.com/oss/python/deepagents/quickstart</t>
  </si>
  <si>
    <t xml:space="preserve">Quickstart - Build your first deep agent in minutes</t>
  </si>
  <si>
    <t xml:space="preserve">agentic-ai:ch1 (19), agentic-ai:ch2 (18), agentic-ai:ch16 (10)</t>
  </si>
  <si>
    <t xml:space="preserve">tavily_api_key, heading: prerequisit, internet_search</t>
  </si>
  <si>
    <t xml:space="preserve">L-035</t>
  </si>
  <si>
    <t xml:space="preserve">Customize Deep Agents</t>
  </si>
  <si>
    <t xml:space="preserve">docs.langchain.com/oss/python/deepagents/customization</t>
  </si>
  <si>
    <t xml:space="preserve">Customize Deep Agents - Learn how to customize Deep Agents with system prompts, tools, subagents, and more</t>
  </si>
  <si>
    <t xml:space="preserve">agentic-ai:ch2 (14), agentic-ai:ch7 (14), agentic-ai:ch6 (8)</t>
  </si>
  <si>
    <t xml:space="preserve">patchtoolcallsmiddleware, createdeepagent, filesystembackend, base_system_prompt, skills_locations, skills_load_warnings, summary_prompt, skills_list, system_prompt_suffix, unsupportedcontentmiddleware, suffix, heading: stack subagent synchronou</t>
  </si>
  <si>
    <t xml:space="preserve">L-036</t>
  </si>
  <si>
    <t xml:space="preserve">Deep Agents models</t>
  </si>
  <si>
    <t xml:space="preserve">docs.langchain.com/oss/python/deepagents/models</t>
  </si>
  <si>
    <t xml:space="preserve">Models - Configure model providers and parameters for Deep Agents</t>
  </si>
  <si>
    <t xml:space="preserve">agentic-ai:ch3 (10), agentic-ai:ch2 (10), agentic-ai:ch1 (5)</t>
  </si>
  <si>
    <t xml:space="preserve">use_responses_api, initchatmodel, useresponsesapi, minimax, createdeepagent, providerprofile, init_kwargs, encrypted_content, google_genai</t>
  </si>
  <si>
    <t xml:space="preserve">L-037</t>
  </si>
  <si>
    <t xml:space="preserve">Comparison with Claude Agent SDK</t>
  </si>
  <si>
    <t xml:space="preserve">docs.langchain.com/oss/python/deepagents/comparison</t>
  </si>
  <si>
    <t xml:space="preserve">Comparison with Claude Agent SDK - Compare LangChain Deep Agents and Managed Deep Agents with the Claude Agent SDK to choose the right tool for your use case.</t>
  </si>
  <si>
    <t xml:space="preserve">agentic-ai:ch13 (4), agentic-ai:ch2 (4), agentic-ai:ch11 (3)</t>
  </si>
  <si>
    <t xml:space="preserve">heading: multi tenancy</t>
  </si>
  <si>
    <t xml:space="preserve">L-038</t>
  </si>
  <si>
    <t xml:space="preserve">Going to production</t>
  </si>
  <si>
    <t xml:space="preserve">docs.langchain.com/oss/python/deepagents/going-to-production</t>
  </si>
  <si>
    <t xml:space="preserve">Going to production - Take your deep agent to production with persistent memory, sandboxes, resilience middleware, and deployment options</t>
  </si>
  <si>
    <t xml:space="preserve">agentic-ai:ch10 (14), agentic-ai:ch2 (13), agentic-ai:ch7 (10)</t>
  </si>
  <si>
    <t xml:space="preserve">storebackend, compositebackend, google_genai, org_id, deployment_url, langgraph_sdk, get_client, thread_2, thread_1, abefore_agent, heading: consideration production, heading: multi tenancy</t>
  </si>
  <si>
    <t xml:space="preserve">L-039</t>
  </si>
  <si>
    <t xml:space="preserve">Fault tolerance</t>
  </si>
  <si>
    <t xml:space="preserve">docs.langchain.com/oss/python/deepagents/fault-tolerance</t>
  </si>
  <si>
    <t xml:space="preserve">Fault tolerance - Make your deep agent resilient with rate limiting, retries, fallbacks, and error handling</t>
  </si>
  <si>
    <t xml:space="preserve">agentic-ai:ch7 (21), agentic-ai:ch8 (16), agentic-ai:ch3 (15)</t>
  </si>
  <si>
    <t xml:space="preserve">google_genai, fetch_url, fetch_url_tool, delete_record_tool, send_email_tool, delete_record</t>
  </si>
  <si>
    <t xml:space="preserve">L-040</t>
  </si>
  <si>
    <t xml:space="preserve">Deep Agents tools</t>
  </si>
  <si>
    <t xml:space="preserve">docs.langchain.com/oss/python/deepagents/tools</t>
  </si>
  <si>
    <t xml:space="preserve">Tools - Connect Deep Agents to custom functions, APIs, databases, and any MCP server</t>
  </si>
  <si>
    <t xml:space="preserve">agentic-ai:ch7 (7), agentic-ai:ch1 (5), agentic-ai:ch2 (5)</t>
  </si>
  <si>
    <t xml:space="preserve">structuredtool</t>
  </si>
  <si>
    <t xml:space="preserve">L-041</t>
  </si>
  <si>
    <t xml:space="preserve">Backends</t>
  </si>
  <si>
    <t xml:space="preserve">docs.langchain.com/oss/python/deepagents/backends</t>
  </si>
  <si>
    <t xml:space="preserve">Backends - Choose and configure filesystem backends for Deep Agents. You can specify routes to different backends, implement virtual filesystems, and enforce policies.</t>
  </si>
  <si>
    <t xml:space="preserve">agentic-ai:ch2 (3), agentic-ai:ch10 (2), agentic-ai:ch5 (2)</t>
  </si>
  <si>
    <t xml:space="preserve">storebackend, writeresult, fileinfo, filepath, filesystembackend, backendcontext, root_dir, lsresult, globresult, editresult, readresult, filedata</t>
  </si>
  <si>
    <t xml:space="preserve">L-042</t>
  </si>
  <si>
    <t xml:space="preserve">Permissions</t>
  </si>
  <si>
    <t xml:space="preserve">docs.langchain.com/oss/python/deepagents/permissions</t>
  </si>
  <si>
    <t xml:space="preserve">Permissions - Control filesystem access with declarative permission rules for Deep Agents</t>
  </si>
  <si>
    <t xml:space="preserve">agentic-ai:ch7 (10), agentic-ai:ch10 (5), agentic-ai:ch20 (5)</t>
  </si>
  <si>
    <t xml:space="preserve">heading: directory isolate workspace, filesystempermission, heading: backend composite, compositebackend, createdeepagent</t>
  </si>
  <si>
    <t xml:space="preserve">L-043</t>
  </si>
  <si>
    <t xml:space="preserve">Multimodal inputs and outputs</t>
  </si>
  <si>
    <t xml:space="preserve">docs.langchain.com/oss/python/deepagents/multimodal</t>
  </si>
  <si>
    <t xml:space="preserve">Multimodal inputs and outputs - Use images, audio, video, and documents with Deep Agents when your model supports multimodal inputs and tool results</t>
  </si>
  <si>
    <t xml:space="preserve">agentic-ai:ch1 (6), agentic-ai:ch3 (6), agentic-ai:ch5 (5)</t>
  </si>
  <si>
    <t xml:space="preserve">L-044</t>
  </si>
  <si>
    <t xml:space="preserve">Sandboxes</t>
  </si>
  <si>
    <t xml:space="preserve">docs.langchain.com/oss/python/deepagents/sandboxes</t>
  </si>
  <si>
    <t xml:space="preserve">Sandboxes - Execute code in isolated environments with sandbox backends</t>
  </si>
  <si>
    <t xml:space="preserve">agentic-ai:ch16 (8), agentic-ai:ch7 (8), agentic-ai:ch9 (5)</t>
  </si>
  <si>
    <t xml:space="preserve">download_files, upload_files, workspaceclient, vercelsandbox, langchain_vercel_sandbox, databrickssandbox, databricks_langchain, runloopsdk, runloopsandbox, runloop_api_client, modalsandbox, modal_sandbox</t>
  </si>
  <si>
    <t xml:space="preserve">L-045</t>
  </si>
  <si>
    <t xml:space="preserve">docs.langchain.com/oss/python/deepagents/browser-use</t>
  </si>
  <si>
    <t xml:space="preserve">Browser use - Give a deep agent a browser so it can take actions on websites and test web apps end to end.</t>
  </si>
  <si>
    <t xml:space="preserve">agentic-ai:ch1 (8), agentic-ai:ch11 (7), agentic-ai:ch16 (7)</t>
  </si>
  <si>
    <t xml:space="preserve">qa_start_command, stagehandmiddleware, browserbase_api_key, qa_snapshot_id, heading: prepare sandbox snapshot, heading: chrome langsmith sandbox, heading: browserbase stagehand, langsmithsandbox, write_bytes, stagehand_dir, stagehand_, langchain_stagehand</t>
  </si>
  <si>
    <t xml:space="preserve">L-046</t>
  </si>
  <si>
    <t xml:space="preserve">Interpreters</t>
  </si>
  <si>
    <t xml:space="preserve">docs.langchain.com/oss/python/deepagents/interpreters</t>
  </si>
  <si>
    <t xml:space="preserve">Interpreters - Run lightweight code inside Deep Agents to compose tools, orchestrate subagents, and transform structured data</t>
  </si>
  <si>
    <t xml:space="preserve">agentic-ai:ch2 (6), agentic-ai:ch7 (5), agentic-ai:ch6 (4)</t>
  </si>
  <si>
    <t xml:space="preserve">memory_limit, captureconsole, capture_console, codeinterpretermiddleware, websearch, toolname, structuredtoolinterface, memorylimitbytes, maxstacksizebytes, maxresultchars, maxptccalls, max_snapshot_bytes</t>
  </si>
  <si>
    <t xml:space="preserve">L-047</t>
  </si>
  <si>
    <t xml:space="preserve">Deep Agents event streaming</t>
  </si>
  <si>
    <t xml:space="preserve">docs.langchain.com/oss/python/deepagents/event-streaming</t>
  </si>
  <si>
    <t xml:space="preserve">Event streaming - Stream subagents, messages, tool calls, and final output from Deep Agents.</t>
  </si>
  <si>
    <t xml:space="preserve">agentic-ai:ch10a (7), agentic-ai:cheat (5), agentic-ai:glossary (5)</t>
  </si>
  <si>
    <t xml:space="preserve">toolcalls, taskinput, heading: subagent subgraph versu, subagent_type, heading: lifecycle subagent track, consume_subagents, consume_coordinator</t>
  </si>
  <si>
    <t xml:space="preserve">L-048</t>
  </si>
  <si>
    <t xml:space="preserve">Deep Agents streaming</t>
  </si>
  <si>
    <t xml:space="preserve">docs.langchain.com/oss/python/deepagents/streaming</t>
  </si>
  <si>
    <t xml:space="preserve">Streaming - Stream real-time updates from deep agent runs and subagent execution</t>
  </si>
  <si>
    <t xml:space="preserve">agentic-ai:ch10a (11), agentic-ai:ch18 (8), agentic-ai:ch6 (7)</t>
  </si>
  <si>
    <t xml:space="preserve">abc123, heading: lifecycle subagent track, stream_subgraphs, model_request, interrupt_obj, def456, uuid7, usestream</t>
  </si>
  <si>
    <t xml:space="preserve">L-049</t>
  </si>
  <si>
    <t xml:space="preserve">Skills</t>
  </si>
  <si>
    <t xml:space="preserve">docs.langchain.com/oss/python/deepagents/skills</t>
  </si>
  <si>
    <t xml:space="preserve">Skills - Learn how to extend your deep agent's capabilities with skills</t>
  </si>
  <si>
    <t xml:space="preserve">agentic-ai:ch16 (15), agentic-ai:ch2 (12), agentic-ai:ch19 (10)</t>
  </si>
  <si>
    <t xml:space="preserve">include_tools, filesystembackend, createskillsmiddleware, additional_kwargs, pinnedskills, root_dir, storebackend, skilltoolresolver, pinned_skills, pinned_skill, list_issues, heading: skill writable</t>
  </si>
  <si>
    <t xml:space="preserve">L-050</t>
  </si>
  <si>
    <t xml:space="preserve">Memory</t>
  </si>
  <si>
    <t xml:space="preserve">docs.langchain.com/oss/python/deepagents/memory</t>
  </si>
  <si>
    <t xml:space="preserve">Memory - Add persistent memory to agents built with Deep Agents so they learn and improve across conversations</t>
  </si>
  <si>
    <t xml:space="preserve">agentic-ai:ch10 (10), agentic-ai:ch6 (8), agentic-ai:ch16 (7)</t>
  </si>
  <si>
    <t xml:space="preserve">storebackend, compositebackend, deployment_url, consolidation_agent, google_genai, langgraph_sdk, get_client, create_file_data, org_id, search_recent_conversations, get_history, heading: memory writable</t>
  </si>
  <si>
    <t xml:space="preserve">L-051</t>
  </si>
  <si>
    <t xml:space="preserve">Retrieval</t>
  </si>
  <si>
    <t xml:space="preserve">docs.langchain.com/oss/python/deepagents/retrieval</t>
  </si>
  <si>
    <t xml:space="preserve">agentic-ai:ch2 (9), agentic-ai:ch3 (8), agentic-ai:ch19 (7)</t>
  </si>
  <si>
    <t xml:space="preserve">fetch_documentation, raise_for_status, llms_txt_content, llms_txt, allowed_domains, fetch_url</t>
  </si>
  <si>
    <t xml:space="preserve">L-052</t>
  </si>
  <si>
    <t xml:space="preserve">Context engineering in Deep Agents</t>
  </si>
  <si>
    <t xml:space="preserve">docs.langchain.com/oss/python/deepagents/context-engineering</t>
  </si>
  <si>
    <t xml:space="preserve">Context engineering in Deep Agents - Control what context your deep agent has access to and how it is managed across long-running tasks</t>
  </si>
  <si>
    <t xml:space="preserve">agentic-ai:ch7 (16), agentic-ai:ch2 (12), agentic-ai:ch3 (11)</t>
  </si>
  <si>
    <t xml:space="preserve">heading: offload, create_summarization_tool_middleware, excluded_tools, compositebackend, summarizationtoolmiddleware, dynamicsystempromptmiddleware, compact_conversation, tool_description_overrides, lc_source, system_prompt_suffix, patchtoolcallsmiddleware, base_system_prompt</t>
  </si>
  <si>
    <t xml:space="preserve">L-053</t>
  </si>
  <si>
    <t xml:space="preserve">Profiles</t>
  </si>
  <si>
    <t xml:space="preserve">docs.langchain.com/oss/python/deepagents/profiles</t>
  </si>
  <si>
    <t xml:space="preserve">Profiles - Package per-provider and per-model defaults that Deep Agents applies when a model is selected</t>
  </si>
  <si>
    <t xml:space="preserve">agentic-ai:ch7 (4), agentic-ai:ch2 (4), agentic-ai:ch3 (3)</t>
  </si>
  <si>
    <t xml:space="preserve">my_provider, excluded_middleware, my_pkg, extramiddleware, harnessprofile, system_prompt_suffix, excluded_tools, base_system_prompt, systempromptsuffix, serializeprofile, harnessprofileconfig, extra_middleware</t>
  </si>
  <si>
    <t xml:space="preserve">L-054</t>
  </si>
  <si>
    <t xml:space="preserve">docs.langchain.com/oss/python/deepagents/subagents</t>
  </si>
  <si>
    <t xml:space="preserve">Subagents - Learn how to use subagents to delegate work and keep context clean</t>
  </si>
  <si>
    <t xml:space="preserve">agentic-ai:ch20 (15), agentic-ai:ch6 (14), agentic-ai:ch2 (14)</t>
  </si>
  <si>
    <t xml:space="preserve">heading: compiledsubagent, compiledsubagent, responseformat, list_runs, heading: multiple specializ subagent, heading: minimize, heading: inheritance skill, heading: filter programmatically, heading: dynamic enable subagent, heading: configure fork subagent</t>
  </si>
  <si>
    <t xml:space="preserve">L-055</t>
  </si>
  <si>
    <t xml:space="preserve">Dynamic subagents</t>
  </si>
  <si>
    <t xml:space="preserve">docs.langchain.com/oss/python/deepagents/dynamic-subagents</t>
  </si>
  <si>
    <t xml:space="preserve">Dynamic subagents - Use interpreters to dispatch and orchestrate Deep Agents subagents from code</t>
  </si>
  <si>
    <t xml:space="preserve">agentic-ai:ch19 (3), agentic-ai:ch10a (2), agentic-ai:ch13 (2)</t>
  </si>
  <si>
    <t xml:space="preserve">heading: tournament, heading: disable dynamic subagent, heading: adversarial verification, responseschema, subagenttype, interrupton</t>
  </si>
  <si>
    <t xml:space="preserve">L-056</t>
  </si>
  <si>
    <t xml:space="preserve">Async subagents</t>
  </si>
  <si>
    <t xml:space="preserve">docs.langchain.com/oss/python/deepagents/async-subagents</t>
  </si>
  <si>
    <t xml:space="preserve">Async subagents - Launch background subagents that run concurrently while the supervisor continues interacting with the user</t>
  </si>
  <si>
    <t xml:space="preserve">agentic-ai:ch20 (13), agentic-ai:ch18 (10), agentic-ai:ch11 (9)</t>
  </si>
  <si>
    <t xml:space="preserve">update_async_task, start_async_task, parent_thread_id, asyncsubagent, updatestrategy, update_strategy, notifyparent, notify_parent, list_async_tasks, taskevent, deepagents_notification, cancel_async_task</t>
  </si>
  <si>
    <t xml:space="preserve">L-057</t>
  </si>
  <si>
    <t xml:space="preserve">Human-in-the-loop</t>
  </si>
  <si>
    <t xml:space="preserve">docs.langchain.com/oss/python/deepagents/human-in-the-loop</t>
  </si>
  <si>
    <t xml:space="preserve">Human-in-the-loop - Learn how to configure human approval for sensitive tool operations</t>
  </si>
  <si>
    <t xml:space="preserve">agentic-ai:ch10 (19), agentic-ai:ch7 (15), agentic-ai:ch19 (11)</t>
  </si>
  <si>
    <t xml:space="preserve">interrupt_value, delete_file, request_approval, approval_request, config_map, heading: filesystem interrupt permission, heading: configuration tailor, uuid7, google_genai, memorysaver, tool_msgs, test_interrupt_directly</t>
  </si>
  <si>
    <t xml:space="preserve">L-058</t>
  </si>
  <si>
    <t xml:space="preserve">Grading rubrics</t>
  </si>
  <si>
    <t xml:space="preserve">docs.langchain.com/oss/python/deepagents/rubric</t>
  </si>
  <si>
    <t xml:space="preserve">Grading rubrics - LLM-as-a-judge grading for agents that iterate against a rubric until done</t>
  </si>
  <si>
    <t xml:space="preserve">agentic-ai:ch7 (6), agentic-ai:ch1 (4), agentic-ai:ch10 (3)</t>
  </si>
  <si>
    <t xml:space="preserve">needs_revision, max_iterations_reached, grader_error, rubricevaluation, on_evaluation, grading_run_id, _rubric_status, heading: rubric verdict, heading: iteration observe progres, heading: generate vett, heading: event grader, customtransformer</t>
  </si>
  <si>
    <t xml:space="preserve">L-059</t>
  </si>
  <si>
    <t xml:space="preserve">Deep Agents frontend overview</t>
  </si>
  <si>
    <t xml:space="preserve">docs.langchain.com/oss/python/deepagents/frontend/overview</t>
  </si>
  <si>
    <t xml:space="preserve">Overview - Build UIs that display real-time subagent streams, task progress, and sandbox for Deep Agents</t>
  </si>
  <si>
    <t xml:space="preserve">agentic-ai:ch6 (4), agentic-ai:ch10 (3), agentic-ai:ch11 (3)</t>
  </si>
  <si>
    <t xml:space="preserve">usestream, usemessages, createdeepagent, createagent</t>
  </si>
  <si>
    <t xml:space="preserve">L-060</t>
  </si>
  <si>
    <t xml:space="preserve">Subagent streaming</t>
  </si>
  <si>
    <t xml:space="preserve">docs.langchain.com/oss/python/deepagents/frontend/subagent-streaming</t>
  </si>
  <si>
    <t xml:space="preserve">Subagent streaming - Display specialist subagents with streaming content, progress tracking, and collapsible cards</t>
  </si>
  <si>
    <t xml:space="preserve">agentic-ai:ch17 (3), agentic-ai:ch20 (3), agentic-ai:ch16 (2)</t>
  </si>
  <si>
    <t xml:space="preserve">heading: subagentdiscoverysnapshot, heading: build subagentcard, usemessages, usetoolcalls, heading: guid langchain relat, heading: sett usestream, usestream</t>
  </si>
  <si>
    <t xml:space="preserve">L-061</t>
  </si>
  <si>
    <t xml:space="preserve">Todo list</t>
  </si>
  <si>
    <t xml:space="preserve">docs.langchain.com/oss/python/deepagents/frontend/todo-list</t>
  </si>
  <si>
    <t xml:space="preserve">Todo list - Track agent progress with a real-time todo list synced from agent state</t>
  </si>
  <si>
    <t xml:space="preserve">agentic-ai:ch17 (4), agentic-ai:ch8 (4), agentic-ai:ch10 (3)</t>
  </si>
  <si>
    <t xml:space="preserve">in_progress, heading: individual items, heading: calculat progres, heading: build component todolist, usestream, heading: guid langchain relat, heading: sett usestream</t>
  </si>
  <si>
    <t xml:space="preserve">L-062</t>
  </si>
  <si>
    <t xml:space="preserve">Sandbox</t>
  </si>
  <si>
    <t xml:space="preserve">docs.langchain.com/oss/python/deepagents/frontend/sandbox</t>
  </si>
  <si>
    <t xml:space="preserve">Sandbox - Build an IDE-like UI for a coding agent backed by a sandbox environment</t>
  </si>
  <si>
    <t xml:space="preserve">agentic-ai:ch20 (10), agentic-ai:ch7 (8), agentic-ai:ch16 (8)</t>
  </si>
  <si>
    <t xml:space="preserve">getorcreatesandboxforthread, get_or_create_sandbox_for_thread, sessionstorage, generatedifffile, diffview, deep_agent_ide, heading: diffs display, heading: add brows, usestream, heading: guid langchain relat, type_char, templatename</t>
  </si>
  <si>
    <t xml:space="preserve">L-063</t>
  </si>
  <si>
    <t xml:space="preserve">Agent Client Protocol (ACP)</t>
  </si>
  <si>
    <t xml:space="preserve">docs.langchain.com/oss/python/deepagents/acp</t>
  </si>
  <si>
    <t xml:space="preserve">Agent Client Protocol (ACP) - Expose Deep Agents over the Agent Client Protocol (ACP) to integrate with code editors and IDEs.</t>
  </si>
  <si>
    <t xml:space="preserve">agentic-ai:ch20 (12), agentic-ai:ch2 (10), agentic-ai:ch16 (9)</t>
  </si>
  <si>
    <t xml:space="preserve">run_demo_agent, deepagentsserver, deepagentconfig, heading: startserver, heading: deepagentsserver, heading: customization, interrupton, your_server, workspaceroot, startserver, serverversion, servername</t>
  </si>
  <si>
    <t xml:space="preserve">L-064</t>
  </si>
  <si>
    <t xml:space="preserve">Agent User Interaction Protocol (AG-UI)</t>
  </si>
  <si>
    <t xml:space="preserve">docs.langchain.com/oss/python/deepagents/ag-ui</t>
  </si>
  <si>
    <t xml:space="preserve">Agent User Interaction Protocol (AG-UI) - Expose deep agents over the Agent User Interaction Protocol (AG-UI) to stream events to any AG-UI client or frontend.</t>
  </si>
  <si>
    <t xml:space="preserve">agentic-ai:ch1 (5), agentic-ai:ch17 (4), agentic-ai:ch20 (4)</t>
  </si>
  <si>
    <t xml:space="preserve">run_finished, state_snapshot, state_delta, deep_agent, tool_call_start, tool_call_result, tool_call_end, tool_call_args, text_message_start, text_message_end, text_message_content, step_started</t>
  </si>
  <si>
    <t xml:space="preserve">L-065</t>
  </si>
  <si>
    <t xml:space="preserve">LangChain</t>
  </si>
  <si>
    <t xml:space="preserve">LangChain overview</t>
  </si>
  <si>
    <t xml:space="preserve">docs.langchain.com/oss/python/langchain/overview</t>
  </si>
  <si>
    <t xml:space="preserve">LangChain overview - LangChain provides create_agent: a minimal, highly configurable agent harness. Compose exactly the agent your use case needs from model, tools, prompt, and middleware.</t>
  </si>
  <si>
    <t xml:space="preserve">Read in full</t>
  </si>
  <si>
    <t xml:space="preserve">agentic-ai:ch1 (9), agentic-ai:ch2 (7), agentic-ai:ch3 (6)</t>
  </si>
  <si>
    <t xml:space="preserve">azure_openai, google_genai</t>
  </si>
  <si>
    <t xml:space="preserve">L-066</t>
  </si>
  <si>
    <t xml:space="preserve">Install LangChain</t>
  </si>
  <si>
    <t xml:space="preserve">docs.langchain.com/oss/python/langchain/install</t>
  </si>
  <si>
    <t xml:space="preserve">Install LangChain - Install the LangChain package and the independent provider packages for the models and integrations you use.</t>
  </si>
  <si>
    <t xml:space="preserve">L-067</t>
  </si>
  <si>
    <t xml:space="preserve">Quickstart</t>
  </si>
  <si>
    <t xml:space="preserve">docs.langchain.com/oss/python/langchain/quickstart</t>
  </si>
  <si>
    <t xml:space="preserve">Quickstart - Build your first agent in minutes</t>
  </si>
  <si>
    <t xml:space="preserve">agentic-ai:ch1 (26), agentic-ai:ch2 (11), agentic-ai:ch3 (9)</t>
  </si>
  <si>
    <t xml:space="preserve">how_you_computed_counts, ncreate_deep_agent, ncreate_agent, deep_agent_result, daisy, agent_result, heading: langsmith optional trac, large_tool_results, deep_agent, azure_openai</t>
  </si>
  <si>
    <t xml:space="preserve">L-068</t>
  </si>
  <si>
    <t xml:space="preserve">Philosophy</t>
  </si>
  <si>
    <t xml:space="preserve">docs.langchain.com/oss/python/langchain/philosophy</t>
  </si>
  <si>
    <t xml:space="preserve">Philosophy - LangChain exists to be the easiest place to start building with LLMs, while also being flexible and production-ready.</t>
  </si>
  <si>
    <t xml:space="preserve">L-069</t>
  </si>
  <si>
    <t xml:space="preserve">Agents</t>
  </si>
  <si>
    <t xml:space="preserve">docs.langchain.com/oss/python/langchain/agents</t>
  </si>
  <si>
    <t xml:space="preserve">Agents - Build a LangChain agent: a model calling tools in a loop until a task is complete, shaped by a harness of prompt, tools, and middleware.</t>
  </si>
  <si>
    <t xml:space="preserve">agentic-ai:ch2 (28), agentic-ai:ch10 (21), agentic-ai:cheat (20)</t>
  </si>
  <si>
    <t xml:space="preserve">stateschema, beforemodel, aftermodel, contextschema</t>
  </si>
  <si>
    <t xml:space="preserve">L-070</t>
  </si>
  <si>
    <t xml:space="preserve">docs.langchain.com/oss/python/langchain/models</t>
  </si>
  <si>
    <t xml:space="preserve">Models - Initialize and configure chat models, the reasoning engine of LangChain agents, with support for tool calling, structured output, and multimodal inputs.</t>
  </si>
  <si>
    <t xml:space="preserve">agentic-ai:ch3 (26), agentic-ai:cheat (9), agentic-ai:glossary (9)</t>
  </si>
  <si>
    <t xml:space="preserve">model_with_structure, initchatmodel, data_dir, streamevents, your_api_key, tool_1, reasoning_steps, profile_augmentations, moviedetails, model_copy, cache_creation, heading: probabiliti</t>
  </si>
  <si>
    <t xml:space="preserve">L-071</t>
  </si>
  <si>
    <t xml:space="preserve">Messages</t>
  </si>
  <si>
    <t xml:space="preserve">docs.langchain.com/oss/python/langchain/messages</t>
  </si>
  <si>
    <t xml:space="preserve">agentic-ai:ch3 (28), agentic-ai:ch2 (15), agentic-ai:ch1 (13)</t>
  </si>
  <si>
    <t xml:space="preserve">call_123, system_msg, usagemetadata, rs_abc123, reasoningcontentblock, msg_abc123, human_msg, output_token_details, input_token_details</t>
  </si>
  <si>
    <t xml:space="preserve">L-072</t>
  </si>
  <si>
    <t xml:space="preserve">Tools</t>
  </si>
  <si>
    <t xml:space="preserve">docs.langchain.com/oss/python/langchain/tools</t>
  </si>
  <si>
    <t xml:space="preserve">Tools - Define tools that let LangChain agents fetch real-time data, execute code, query external databases, and take actions.</t>
  </si>
  <si>
    <t xml:space="preserve">agentic-ai:ch5 (26), agentic-ai:ch10 (22), agentic-ai:cheat (18)</t>
  </si>
  <si>
    <t xml:space="preserve">injectedstate, pref_name, injectedstore, include_forecast, heading: customize properti, injectedtoolcallid</t>
  </si>
  <si>
    <t xml:space="preserve">L-073</t>
  </si>
  <si>
    <t xml:space="preserve">Short-term memory</t>
  </si>
  <si>
    <t xml:space="preserve">docs.langchain.com/oss/python/langchain/short-term-memory</t>
  </si>
  <si>
    <t xml:space="preserve">agentic-ai:ch6 (23), agentic-ai:ch10 (19), agentic-ai:cheat (16)</t>
  </si>
  <si>
    <t xml:space="preserve">get_user_info, final_response, pretty_print, user_123, recent_messages, new_messages, first_msg, customcontext, heading: agent customiz memory, delete_messages, trim_messages, stateschema</t>
  </si>
  <si>
    <t xml:space="preserve">L-074</t>
  </si>
  <si>
    <t xml:space="preserve">Event streaming</t>
  </si>
  <si>
    <t xml:space="preserve">docs.langchain.com/oss/python/langchain/event-streaming</t>
  </si>
  <si>
    <t xml:space="preserve">Event streaming - Stream real-time updates from LangChain agent runs</t>
  </si>
  <si>
    <t xml:space="preserve">agentic-ai:ch10a (21), agentic-ai:ch3 (14), agentic-ai:ch9 (12)</t>
  </si>
  <si>
    <t xml:space="preserve">createagent, toolcalls, streamtransformers, toolcalltransformer, streamtransformer, consume_tool_calls, call_weather, weather_agent, toolactivitymiddleware, tool_activity, consume_messages, graph_name</t>
  </si>
  <si>
    <t xml:space="preserve">L-075</t>
  </si>
  <si>
    <t xml:space="preserve">Streaming</t>
  </si>
  <si>
    <t xml:space="preserve">docs.langchain.com/oss/python/langchain/streaming</t>
  </si>
  <si>
    <t xml:space="preserve">Streaming - Stream real-time updates from agent runs</t>
  </si>
  <si>
    <t xml:space="preserve">agentic-ai:ch10a (19), agentic-ai:ch3 (15), agentic-ai:ch10 (14)</t>
  </si>
  <si>
    <t xml:space="preserve">_render_message_chunk, _render_completed_message, streammode, input_message, anymessage, call_weather_agent, _render_interrupt, heading: disable stream, safety_guardrail, supervisor_model, responsesafety, current_agent</t>
  </si>
  <si>
    <t xml:space="preserve">L-076</t>
  </si>
  <si>
    <t xml:space="preserve">Structured output</t>
  </si>
  <si>
    <t xml:space="preserve">docs.langchain.com/oss/python/langchain/structured-output</t>
  </si>
  <si>
    <t xml:space="preserve">agentic-ai:ch4 (17), agentic-ai:cheat (9), agentic-ai:glossary (8)</t>
  </si>
  <si>
    <t xml:space="preserve">outputfixingparser, productreview, key_points, contactinfo, structuredresponset, outputparserexception, responseformat, output_parsers, call_1, toolmessagecontent, structuredoutputvalidationerror, productrating</t>
  </si>
  <si>
    <t xml:space="preserve">Add the missing concepts to LangChain ch4</t>
  </si>
  <si>
    <t xml:space="preserve">L-077</t>
  </si>
  <si>
    <t xml:space="preserve">Middleware overview</t>
  </si>
  <si>
    <t xml:space="preserve">docs.langchain.com/oss/python/langchain/middleware/overview</t>
  </si>
  <si>
    <t xml:space="preserve">Middleware overview - Control and customize agent execution at every step</t>
  </si>
  <si>
    <t xml:space="preserve">agentic-ai:ch10 (7), agentic-ai:ch7 (7), agentic-ai:ch19 (6)</t>
  </si>
  <si>
    <t xml:space="preserve">email_agent, classify_node, add_conditional_edges, add_edge, createagent, add_node</t>
  </si>
  <si>
    <t xml:space="preserve">L-078</t>
  </si>
  <si>
    <t xml:space="preserve">Prebuilt middleware</t>
  </si>
  <si>
    <t xml:space="preserve">docs.langchain.com/oss/python/langchain/middleware/built-in</t>
  </si>
  <si>
    <t xml:space="preserve">Prebuilt middleware - Prebuilt middleware for common agent use cases</t>
  </si>
  <si>
    <t xml:space="preserve">agentic-ai:ch7 (27), agentic-ai:ch8 (14), agentic-ai:cheat (9)</t>
  </si>
  <si>
    <t xml:space="preserve">database_tool, defer_loading, basechatmodel, triggerclause, contextsize, your_calculator_tool, initialdelayms, backofffactor, your_weather_tool, toolcalllimitexceedederror, searchabletools</t>
  </si>
  <si>
    <t xml:space="preserve">L-079</t>
  </si>
  <si>
    <t xml:space="preserve">Custom middleware</t>
  </si>
  <si>
    <t xml:space="preserve">docs.langchain.com/oss/python/langchain/middleware/custom</t>
  </si>
  <si>
    <t xml:space="preserve">agentic-ai:ch9 (23), agentic-ai:glossary (9), agentic-ai:cheat (8)</t>
  </si>
  <si>
    <t xml:space="preserve">middleware3, middleware2, middleware1, trace_policy, wrapmodelcall, wraptoolcall, model_call_count, createmiddleware, beforemodel, aftermodel, select_relevant_tools, retry_model</t>
  </si>
  <si>
    <t xml:space="preserve">L-080</t>
  </si>
  <si>
    <t xml:space="preserve">Frontend overview</t>
  </si>
  <si>
    <t xml:space="preserve">docs.langchain.com/oss/python/langchain/frontend/overview</t>
  </si>
  <si>
    <t xml:space="preserve">Overview - Build generative UIs with real-time streaming from LangChain agents</t>
  </si>
  <si>
    <t xml:space="preserve">agentic-ai:ch20 (7), agentic-ai:ch11 (6), agentic-ai:ch2 (5)</t>
  </si>
  <si>
    <t xml:space="preserve">myagent, injectstream, createagent, usestream, assistantid, search_web, toolcalls, memorysaver</t>
  </si>
  <si>
    <t xml:space="preserve">dropped by request</t>
  </si>
  <si>
    <t xml:space="preserve">L-081</t>
  </si>
  <si>
    <t xml:space="preserve">Markdown messages</t>
  </si>
  <si>
    <t xml:space="preserve">docs.langchain.com/oss/python/langchain/frontend/markdown-messages</t>
  </si>
  <si>
    <t xml:space="preserve">Markdown messages - Render LLM responses as rich, formatted markdown with proper streaming support</t>
  </si>
  <si>
    <t xml:space="preserve">innerhtml, dangerouslysetinnerhtml, heading: sanitiz, heading: consideration stream, usestream, heading: sett usestream, requestanimationframe</t>
  </si>
  <si>
    <t xml:space="preserve">L-082</t>
  </si>
  <si>
    <t xml:space="preserve">Tool calling (frontend)</t>
  </si>
  <si>
    <t xml:space="preserve">docs.langchain.com/oss/python/langchain/frontend/tool-calling</t>
  </si>
  <si>
    <t xml:space="preserve">Tool calling - Display agent tool calls with rich, type-safe UI cards</t>
  </si>
  <si>
    <t xml:space="preserve">agentic-ai:ch10a (7), agentic-ai:ch3 (7), agentic-ai:ch5 (7)</t>
  </si>
  <si>
    <t xml:space="preserve">callid, toolcalls, toolcallfromtool, heading: build cards specializ, heading: assembledtoolcall, usestream, heading: sett usestream, assembledtoolcall</t>
  </si>
  <si>
    <t xml:space="preserve">L-083</t>
  </si>
  <si>
    <t xml:space="preserve">Headless tools (frontend)</t>
  </si>
  <si>
    <t xml:space="preserve">docs.langchain.com/oss/python/langchain/frontend/headless-tools</t>
  </si>
  <si>
    <t xml:space="preserve">Headless tools - Run browser and device APIs on the client with headless tool implementations</t>
  </si>
  <si>
    <t xml:space="preserve">agentic-ai:ch5 (8), agentic-ai:cheat (6), agentic-ai:glossary (6)</t>
  </si>
  <si>
    <t xml:space="preserve">heading: implementation usestream, heading: behavior browser implement, heading: activity inline render, usestream, toolcalls, memoryputinput, memorygetinput, memory_put, memory_get, localstorage, geolocationgetinput, geolocation_get</t>
  </si>
  <si>
    <t xml:space="preserve">L-084</t>
  </si>
  <si>
    <t xml:space="preserve">Human-in-the-Loop (frontend)</t>
  </si>
  <si>
    <t xml:space="preserve">docs.langchain.com/oss/python/langchain/frontend/human-in-the-loop</t>
  </si>
  <si>
    <t xml:space="preserve">Human-in-the-Loop - Add approval workflows with interrupt-based human review</t>
  </si>
  <si>
    <t xml:space="preserve">agentic-ai:ch10 (15), agentic-ai:ch19 (7), agentic-ai:ch7 (7)</t>
  </si>
  <si>
    <t xml:space="preserve">actionrequests, usestream, reviewdecision, interruptcard, formtype, heading: describe interrupt payload, heading: approvalcard build, reviewconfigs, heading: sett usestream, hitlresponse, editedaction, alloweddecisions</t>
  </si>
  <si>
    <t xml:space="preserve">L-085</t>
  </si>
  <si>
    <t xml:space="preserve">Branching chat</t>
  </si>
  <si>
    <t xml:space="preserve">docs.langchain.com/oss/python/langchain/frontend/branching-chat</t>
  </si>
  <si>
    <t xml:space="preserve">Branching chat - Edit messages and regenerate responses by forking from checkpoints</t>
  </si>
  <si>
    <t xml:space="preserve">agentic-ai:ch17 (5), agentic-ai:ch16 (4), agentic-ai:ch10a (3)</t>
  </si>
  <si>
    <t xml:space="preserve">parentcheckpointid, forkfrom, heading: regenerate response, usemessagemetadata, gethistory, checkpointid, messageid, parent_checkpoint, isloading, threadid</t>
  </si>
  <si>
    <t xml:space="preserve">L-086</t>
  </si>
  <si>
    <t xml:space="preserve">Reasoning tokens</t>
  </si>
  <si>
    <t xml:space="preserve">docs.langchain.com/oss/python/langchain/frontend/reasoning-tokens</t>
  </si>
  <si>
    <t xml:space="preserve">Reasoning tokens - Display model thinking and reasoning processes in collapsible blocks</t>
  </si>
  <si>
    <t xml:space="preserve">agentic-ai:ch17 (5), agentic-ai:ch5 (5), agentic-ai:ch9 (5)</t>
  </si>
  <si>
    <t xml:space="preserve">thinkingbubble, heading: cycl multiple reason, heading: complete render response, heading: build component thinkingbubble, heading: block extract reason, heading: access messag usestream, isstreaming, usestream, isloading</t>
  </si>
  <si>
    <t xml:space="preserve">L-087</t>
  </si>
  <si>
    <t xml:space="preserve">Structured output (frontend)</t>
  </si>
  <si>
    <t xml:space="preserve">docs.langchain.com/oss/python/langchain/frontend/structured-output</t>
  </si>
  <si>
    <t xml:space="preserve">Structured output - Render structured agent responses with custom UI components instead of plain text</t>
  </si>
  <si>
    <t xml:space="preserve">agentic-ai:ch11 (4), agentic-ai:ch5 (4), agentic-ai:ch3 (3)</t>
  </si>
  <si>
    <t xml:space="preserve">heading: usestream, heading: progressively render stream, requiredfields, usestream, isloading</t>
  </si>
  <si>
    <t xml:space="preserve">L-088</t>
  </si>
  <si>
    <t xml:space="preserve">Message queues</t>
  </si>
  <si>
    <t xml:space="preserve">docs.langchain.com/oss/python/langchain/frontend/message-queues</t>
  </si>
  <si>
    <t xml:space="preserve">Message queues - Queue multiple messages and manage them while the agent processes sequentially</t>
  </si>
  <si>
    <t xml:space="preserve">agentic-ai:ch10 (2), agentic-ai:ch16 (2), agentic-ai:ch7 (2)</t>
  </si>
  <si>
    <t xml:space="preserve">oncreated, multitaskstrategy, heading: message queu, heading: display queue, heading: clear entire queue, heading: chain follow oncreat submission, heading: cancell messag queu, heading: sett usestream, submissionqueueentry, queuelist, usestream, createdat</t>
  </si>
  <si>
    <t xml:space="preserve">L-089</t>
  </si>
  <si>
    <t xml:space="preserve">Join and rejoin streams</t>
  </si>
  <si>
    <t xml:space="preserve">docs.langchain.com/oss/python/langchain/frontend/join-rejoin</t>
  </si>
  <si>
    <t xml:space="preserve">Join &amp; rejoin streams - Disconnect from and reconnect to running agent streams</t>
  </si>
  <si>
    <t xml:space="preserve">agentic-ai:ch17 (4), agentic-ai:ch14 (2), agentic-ai:ch9 (2)</t>
  </si>
  <si>
    <t xml:space="preserve">heading: rejoin stream, heading: rejoin, threadid, isloading, heading: sett usestream, mountkey, onthreadid, usestream</t>
  </si>
  <si>
    <t xml:space="preserve">L-090</t>
  </si>
  <si>
    <t xml:space="preserve">Time travel (frontend)</t>
  </si>
  <si>
    <t xml:space="preserve">docs.langchain.com/oss/python/langchain/frontend/time-travel</t>
  </si>
  <si>
    <t xml:space="preserve">Time travel - Inspect, navigate, and resume from any checkpoint in the conversation history</t>
  </si>
  <si>
    <t xml:space="preserve">agentic-ai:ch19 (4), agentic-ai:ch17 (3), agentic-ai:ch10 (3)</t>
  </si>
  <si>
    <t xml:space="preserve">heading: layout splitview, heading: checkpoint extract metadata, forkfrom, heading: sett usestream, parent_checkpoint, gethistory, checkpointid, usestream</t>
  </si>
  <si>
    <t xml:space="preserve">L-091</t>
  </si>
  <si>
    <t xml:space="preserve">Generative UI overview</t>
  </si>
  <si>
    <t xml:space="preserve">docs.langchain.com/oss/python/langchain/frontend/generative-ui-overview</t>
  </si>
  <si>
    <t xml:space="preserve">Generative UI overview - Understand the generative UI spectrum from controlled to declarative to open-ended interfaces</t>
  </si>
  <si>
    <t xml:space="preserve">agentic-ai:ch14 (2), agentic-ai:ch20 (2)</t>
  </si>
  <si>
    <t xml:space="preserve">heading: generative spectrum, heading: explore spectrum, heading: declarative</t>
  </si>
  <si>
    <t xml:space="preserve">L-092</t>
  </si>
  <si>
    <t xml:space="preserve">Controlled generative UI</t>
  </si>
  <si>
    <t xml:space="preserve">docs.langchain.com/oss/python/langchain/frontend/controlled-generative-ui</t>
  </si>
  <si>
    <t xml:space="preserve">Controlled generative UI - Render agent output with components you author using components as tools, tool-call rendering, state rendering, and reasoning</t>
  </si>
  <si>
    <t xml:space="preserve">agentic-ai:ch20 (4), agentic-ai:ch2 (4), agentic-ai:ch8 (4)</t>
  </si>
  <si>
    <t xml:space="preserve">L-093</t>
  </si>
  <si>
    <t xml:space="preserve">Declarative generative UI</t>
  </si>
  <si>
    <t xml:space="preserve">docs.langchain.com/oss/python/langchain/frontend/declarative-generative-ui</t>
  </si>
  <si>
    <t xml:space="preserve">Declarative generative UI - Compose agent-generated interfaces from a registered component catalog using json-render and A2UI</t>
  </si>
  <si>
    <t xml:space="preserve">agentic-ai:ch19 (4), agentic-ai:ch9 (4), agentic-ai:ch1 (3)</t>
  </si>
  <si>
    <t xml:space="preserve">heading: catalog component define, heading: alternative declarative, heading: progressively render stream, textinput, defineregistry, usestream</t>
  </si>
  <si>
    <t xml:space="preserve">L-094</t>
  </si>
  <si>
    <t xml:space="preserve">Open-ended generative UI</t>
  </si>
  <si>
    <t xml:space="preserve">docs.langchain.com/oss/python/langchain/frontend/open-ended-generative-ui</t>
  </si>
  <si>
    <t xml:space="preserve">Open-ended generative UI - Render UI created outside your application, such as sandboxed MCP Apps, at the open end of the generative UI spectrum</t>
  </si>
  <si>
    <t xml:space="preserve">agentic-ai:ch19 (2), agentic-ai:ch2 (2), agentic-ai:ch6 (2)</t>
  </si>
  <si>
    <t xml:space="preserve">heading: safety sandbox</t>
  </si>
  <si>
    <t xml:space="preserve">L-095</t>
  </si>
  <si>
    <t xml:space="preserve">Frontend integrations overview</t>
  </si>
  <si>
    <t xml:space="preserve">docs.langchain.com/oss/python/langchain/frontend/integrations/overview</t>
  </si>
  <si>
    <t xml:space="preserve">Overview - Connect useStream to any React UI component library or generative UI framework</t>
  </si>
  <si>
    <t xml:space="preserve">agentic-ai:ch20 (2), agentic-ai:ch3 (2)</t>
  </si>
  <si>
    <t xml:space="preserve">usestream, tooloutput, toolheader, useexternalstoreruntime, assistantruntimeprovider</t>
  </si>
  <si>
    <t xml:space="preserve">L-096</t>
  </si>
  <si>
    <t xml:space="preserve">CopilotKit</t>
  </si>
  <si>
    <t xml:space="preserve">docs.langchain.com/oss/python/langchain/frontend/integrations/copilotkit</t>
  </si>
  <si>
    <t xml:space="preserve">CopilotKit - Use CopilotKit with LangGraph, Deep Agents, and React with custom endpoints, the Python AG-UI bridge, structured generative UI, and messaging-platform channels</t>
  </si>
  <si>
    <t xml:space="preserve">agentic-ai:ch20 (11), agentic-ai:ch16 (9), agentic-ai:ch11 (8)</t>
  </si>
  <si>
    <t xml:space="preserve">copilotkitmiddleware, useagentcontext, output_schema, httpagent, copilotkitstate, copilotkit_shadify, copilotkit, langgraphagent, runtimeurl, normalize_context, langgraphaguiagent, intelligence_api_key</t>
  </si>
  <si>
    <t xml:space="preserve">L-097</t>
  </si>
  <si>
    <t xml:space="preserve">AI Elements</t>
  </si>
  <si>
    <t xml:space="preserve">docs.langchain.com/oss/python/langchain/frontend/integrations/ai-elements</t>
  </si>
  <si>
    <t xml:space="preserve">AI Elements - Composable shadcn/ui-based components for AI chat interfaces with useStream</t>
  </si>
  <si>
    <t xml:space="preserve">agentic-ai:ch2 (2)</t>
  </si>
  <si>
    <t xml:space="preserve">heading: usestream wir, promptinput, messageresponse, gettype</t>
  </si>
  <si>
    <t xml:space="preserve">L-098</t>
  </si>
  <si>
    <t xml:space="preserve">assistant-ui</t>
  </si>
  <si>
    <t xml:space="preserve">docs.langchain.com/oss/python/langchain/frontend/integrations/assistant-ui</t>
  </si>
  <si>
    <t xml:space="preserve">assistant-ui - Headless React AI chat framework with a full runtime layer, bridged to useStream</t>
  </si>
  <si>
    <t xml:space="preserve">agentic-ai:ch13 (2), agentic-ai:ch16 (2), agentic-ai:ch9 (2)</t>
  </si>
  <si>
    <t xml:space="preserve">useexternalstoreruntime, tothreadmessages, threadmessagelike, heading: customiz thread, assistantruntimeprovider, heading: usestream wir, usestream, simpleimageattachmentadapter, messagebranch, compositeattachmentadapter, usemessagemetadata, usememo</t>
  </si>
  <si>
    <t xml:space="preserve">L-099</t>
  </si>
  <si>
    <t xml:space="preserve">OpenUI</t>
  </si>
  <si>
    <t xml:space="preserve">docs.langchain.com/oss/python/langchain/frontend/integrations/openui</t>
  </si>
  <si>
    <t xml:space="preserve">OpenUI - Generate complete, interactive dashboards and reports using the OpenUI component library and openui-lang</t>
  </si>
  <si>
    <t xml:space="preserve">agentic-ai:ch19 (4), agentic-ai:ch5 (3), agentic-ai:ch16 (3)</t>
  </si>
  <si>
    <t xml:space="preserve">openuilibrary, additionalrules, usestabletext, truncateatopenstring, sanitizeidentifiers, continue_conversation, closeortruncateopenstring, chartdatarefsresolved, cardheader, buildprogressiveroot, aimessageview, heading: render renderer</t>
  </si>
  <si>
    <t xml:space="preserve">L-100</t>
  </si>
  <si>
    <t xml:space="preserve">Guardrails</t>
  </si>
  <si>
    <t xml:space="preserve">docs.langchain.com/oss/python/langchain/guardrails</t>
  </si>
  <si>
    <t xml:space="preserve">Guardrails - Implement safety checks and content filtering for your agents</t>
  </si>
  <si>
    <t xml:space="preserve">agentic-ai:ch8 (15), agentic-ai:ch7 (12), agentic-ai:ch9 (10)</t>
  </si>
  <si>
    <t xml:space="preserve">calculator_tool, banned_keywords, safetyguardrailmiddleware, safety_prompt, first_message, contentfiltermiddleware, heading: combine guardrail multiple, send_email_tool, safety_model, last_message, piitype, email_tool</t>
  </si>
  <si>
    <t xml:space="preserve">L-101</t>
  </si>
  <si>
    <t xml:space="preserve">docs.langchain.com/oss/python/langchain/runtime</t>
  </si>
  <si>
    <t xml:space="preserve">agentic-ai:ch10 (21), agentic-ai:ch6 (15), agentic-ai:cheat (13)</t>
  </si>
  <si>
    <t xml:space="preserve">executioninfo, log_after_model, fetch_user_email_preferences, context_aware_tool, dynamic_system_prompt, createagent, contextschema, anymessage</t>
  </si>
  <si>
    <t xml:space="preserve">L-102</t>
  </si>
  <si>
    <t xml:space="preserve">Context engineering in agents</t>
  </si>
  <si>
    <t xml:space="preserve">docs.langchain.com/oss/python/langchain/context-engineering</t>
  </si>
  <si>
    <t xml:space="preserve">agentic-ai:ch7 (22), agentic-ai:ch10 (21), agentic-ai:ch6 (21)</t>
  </si>
  <si>
    <t xml:space="preserve">user_prefs, user_role, standard_model, preference_key, existing_prefs, is_authenticated, writing_style</t>
  </si>
  <si>
    <t xml:space="preserve">L-103</t>
  </si>
  <si>
    <t xml:space="preserve">docs.langchain.com/oss/python/langchain/human-in-the-loop</t>
  </si>
  <si>
    <t xml:space="preserve">agentic-ai:ch10 (26), agentic-ai:ch7 (12), agentic-ai:ch19 (10)</t>
  </si>
  <si>
    <t xml:space="preserve">read_data, orders_archive, orders_2024, oneof, interrupton, tool_approval, new_value, some_id, mongodbsaver, interruptmode</t>
  </si>
  <si>
    <t xml:space="preserve">L-104</t>
  </si>
  <si>
    <t xml:space="preserve">Long-term memory</t>
  </si>
  <si>
    <t xml:space="preserve">docs.langchain.com/oss/python/langchain/long-term-memory</t>
  </si>
  <si>
    <t xml:space="preserve">Long-term memory - Add long-term memory to LangChain agents to store and recall data across conversations and sessions</t>
  </si>
  <si>
    <t xml:space="preserve">agentic-ai:ch6 (4), agentic-ai:ch10a (3), agentic-ai:ch18 (3)</t>
  </si>
  <si>
    <t xml:space="preserve">L-105</t>
  </si>
  <si>
    <t xml:space="preserve">Model Context Protocol (MCP)</t>
  </si>
  <si>
    <t xml:space="preserve">docs.langchain.com/oss/python/langchain/mcp/index</t>
  </si>
  <si>
    <t xml:space="preserve">Model Context Protocol (MCP) - Connect LangChain agents to MCP servers with MCPAdapter.</t>
  </si>
  <si>
    <t xml:space="preserve">agentic-ai:ch16 (6), agentic-ai:ch15 (5), agentic-ai:ch18 (5)</t>
  </si>
  <si>
    <t xml:space="preserve">submit_feedback, streamabletransport, search_docs_by_lang_chain, query_docs_filesystem_docs_by_lang_chain, docs_search_docs_by_lang_chain, langchainbetawarning, createagent</t>
  </si>
  <si>
    <t xml:space="preserve">Add the missing concepts to LangChain ch18</t>
  </si>
  <si>
    <t xml:space="preserve">L-106</t>
  </si>
  <si>
    <t xml:space="preserve">MCP: Tools</t>
  </si>
  <si>
    <t xml:space="preserve">docs.langchain.com/oss/python/langchain/mcp/tools</t>
  </si>
  <si>
    <t xml:space="preserve">Tools - Load MCP tools into LangChain agents, control their execution, and handle server results and requests.</t>
  </si>
  <si>
    <t xml:space="preserve">agentic-ai:ch18 (17), agentic-ai:cheat (11), agentic-ai:ch3 (9)</t>
  </si>
  <si>
    <t xml:space="preserve">createmcpelicitationresume, toolexception, createagent, listtools, readonlyhint, onelicitation, mcpelicitationinterrupt, mcp_structured_content, mcp_elicitation, crm_delete_file, toolcall, delete_file</t>
  </si>
  <si>
    <t xml:space="preserve">L-107</t>
  </si>
  <si>
    <t xml:space="preserve">MCP: Connections</t>
  </si>
  <si>
    <t xml:space="preserve">docs.langchain.com/oss/python/langchain/mcp/connections</t>
  </si>
  <si>
    <t xml:space="preserve">Connections - Connection lifecycle, multiple servers, deployment scaling, protocol eras, and caching for MCP in LangChain.</t>
  </si>
  <si>
    <t xml:space="preserve">agentic-ai:ch18 (13), agentic-ai:ch17 (9), agentic-ai:glossary (6)</t>
  </si>
  <si>
    <t xml:space="preserve">listtools, listtoolsets, defaulttooltimeout, cachemode, setlogginglevel, listservertools, files_search, execution_runtime, calendar_search, automaticssefallback, _pool, runagent</t>
  </si>
  <si>
    <t xml:space="preserve">L-108</t>
  </si>
  <si>
    <t xml:space="preserve">MCP: Authentication</t>
  </si>
  <si>
    <t xml:space="preserve">docs.langchain.com/oss/python/langchain/mcp/auth</t>
  </si>
  <si>
    <t xml:space="preserve">Authentication - Authenticate MCP connections with bearer tokens, OAuth 2.1, or per-user credentials in LangChain.</t>
  </si>
  <si>
    <t xml:space="preserve">agentic-ai:ch18 (8), agentic-ai:ch16 (4), agentic-ai:ch13 (3)</t>
  </si>
  <si>
    <t xml:space="preserve">authprovider, unauthorizederror, onunauthorized, sseerror, sdkhttperror, redirecturl, oauthclientprovider, mcpclienterror, heading: header precedence, onconnectionerror, listtools, tokenstore</t>
  </si>
  <si>
    <t xml:space="preserve">Read and add to LangChain ch18</t>
  </si>
  <si>
    <t xml:space="preserve">L-109</t>
  </si>
  <si>
    <t xml:space="preserve">Multi-agent</t>
  </si>
  <si>
    <t xml:space="preserve">docs.langchain.com/oss/python/langchain/multi-agent/index</t>
  </si>
  <si>
    <t xml:space="preserve">agentic-ai:ch19 (7), agentic-ai:ch1 (6), agentic-ai:ch18 (6)</t>
  </si>
  <si>
    <t xml:space="preserve">buy_coffee, heading: comparison performance</t>
  </si>
  <si>
    <t xml:space="preserve">L-110</t>
  </si>
  <si>
    <t xml:space="preserve">Multi-agent: Subagents</t>
  </si>
  <si>
    <t xml:space="preserve">docs.langchain.com/oss/python/langchain/multi-agent/subagents</t>
  </si>
  <si>
    <t xml:space="preserve">agentic-ai:ch19 (18), agentic-ai:glossary (10), agentic-ai:ch1 (9)</t>
  </si>
  <si>
    <t xml:space="preserve">main_agent, some_logic, list_agents, example_state_key, call_subagent1, heading: enumeration prompt system, heading: checkpoint inspection state, research_agent, heading: characteristic, writer_agent, subagent_input, subagent_description</t>
  </si>
  <si>
    <t xml:space="preserve">Add the missing concepts to LangChain ch19</t>
  </si>
  <si>
    <t xml:space="preserve">L-111</t>
  </si>
  <si>
    <t xml:space="preserve">Multi-agent: Handoffs</t>
  </si>
  <si>
    <t xml:space="preserve">docs.langchain.com/oss/python/langchain/multi-agent/handoffs</t>
  </si>
  <si>
    <t xml:space="preserve">Handoffs</t>
  </si>
  <si>
    <t xml:space="preserve">agentic-ai:ch19 (16), agentic-ai:ch6 (9), agentic-ai:ch9 (8)</t>
  </si>
  <si>
    <t xml:space="preserve">transfer_to_sales, transfer_message, sales_agent, last_ai_message, heading: consideration implementation, warranty_status, record_warranty_status, heading: characteristic, transfer_to_support, transfer_to_specialist, support_agent, route_initial</t>
  </si>
  <si>
    <t xml:space="preserve">L-112</t>
  </si>
  <si>
    <t xml:space="preserve">Multi-agent: Skills</t>
  </si>
  <si>
    <t xml:space="preserve">docs.langchain.com/oss/python/langchain/multi-agent/skills</t>
  </si>
  <si>
    <t xml:space="preserve">agentic-ai:ch19 (4), agentic-ai:ch6 (3), agentic-ai:ch1 (2)</t>
  </si>
  <si>
    <t xml:space="preserve">heading: characteristic, write_sql, review_legal_doc</t>
  </si>
  <si>
    <t xml:space="preserve">L-113</t>
  </si>
  <si>
    <t xml:space="preserve">Multi-agent: Router</t>
  </si>
  <si>
    <t xml:space="preserve">docs.langchain.com/oss/python/langchain/multi-agent/router</t>
  </si>
  <si>
    <t xml:space="preserve">Router</t>
  </si>
  <si>
    <t xml:space="preserve">agentic-ai:ch19 (5), agentic-ai:ch16 (4), agentic-ai:ch17 (4)</t>
  </si>
  <si>
    <t xml:space="preserve">route_query, classify_query, heading: characteristic, search_docs, final_answer, conversational_agent, classificationresult</t>
  </si>
  <si>
    <t xml:space="preserve">L-114</t>
  </si>
  <si>
    <t xml:space="preserve">Multi-agent: Custom workflow</t>
  </si>
  <si>
    <t xml:space="preserve">docs.langchain.com/oss/python/langchain/multi-agent/custom-workflow</t>
  </si>
  <si>
    <t xml:space="preserve">Custom workflow</t>
  </si>
  <si>
    <t xml:space="preserve">agentic-ai:ch3 (7), agentic-ai:ch19 (6), agentic-ai:ch4 (5)</t>
  </si>
  <si>
    <t xml:space="preserve">inmemoryvectorstore, heading: characteristic, rewrittenquery, rewritten_query, rewrite_query, memoryvectorstore, get_latest_news, call_agent, add_texts, add_edge, search_kwargs, as_retriever</t>
  </si>
  <si>
    <t xml:space="preserve">L-115</t>
  </si>
  <si>
    <t xml:space="preserve">LangSmith Studio</t>
  </si>
  <si>
    <t xml:space="preserve">docs.langchain.com/oss/python/langchain/studio</t>
  </si>
  <si>
    <t xml:space="preserve">L-116</t>
  </si>
  <si>
    <t xml:space="preserve">Agent Chat UI</t>
  </si>
  <si>
    <t xml:space="preserve">docs.langchain.com/oss/python/langchain/ui</t>
  </si>
  <si>
    <t xml:space="preserve">L-117</t>
  </si>
  <si>
    <t xml:space="preserve">Test</t>
  </si>
  <si>
    <t xml:space="preserve">docs.langchain.com/oss/python/langchain/test/index</t>
  </si>
  <si>
    <t xml:space="preserve">Test - Strategies for testing LangChain agents, including unit tests, integration tests, and trajectory evaluations.</t>
  </si>
  <si>
    <t xml:space="preserve">L-118</t>
  </si>
  <si>
    <t xml:space="preserve">Unit testing</t>
  </si>
  <si>
    <t xml:space="preserve">docs.langchain.com/oss/python/langchain/test/unit-testing</t>
  </si>
  <si>
    <t xml:space="preserve">Unit testing - Test agent logic without API calls using fake chat models and in-memory persistence.</t>
  </si>
  <si>
    <t xml:space="preserve">agentic-ai:ch8 (18), agentic-ai:ch3 (13), agentic-ai:ch1 (12)</t>
  </si>
  <si>
    <t xml:space="preserve">fakemodel, language_models, faketoolcallingmodel, toolcall, call_1, tool_call_messages, respondwithtools, fake_chat_models, heading: fakemodel model, heading: bindtool, withstructuredoutput, structuredresponse</t>
  </si>
  <si>
    <t xml:space="preserve">L-119</t>
  </si>
  <si>
    <t xml:space="preserve">Integration testing</t>
  </si>
  <si>
    <t xml:space="preserve">docs.langchain.com/oss/python/langchain/test/integration-testing</t>
  </si>
  <si>
    <t xml:space="preserve">Integration testing - Test agents with real LLM APIs by organizing tests, managing keys, handling flakiness, and controlling costs.</t>
  </si>
  <si>
    <t xml:space="preserve">agentic-ai:ch2 (11), agentic-ai:ch1 (9), agentic-ai:ch8 (8)</t>
  </si>
  <si>
    <t xml:space="preserve">tohavetoolmessages, tohavestructuredresponse, tohavebeeninterrupted, tobetoolmessage, tobesystemmessage, tobehumanmessage, tobeaimessage, ini_options, heading: matcher reference, heading: latency reduce, heading: custom matcher, structuredresponse</t>
  </si>
  <si>
    <t xml:space="preserve">Add the missing concepts to LangChain ch8</t>
  </si>
  <si>
    <t xml:space="preserve">L-120</t>
  </si>
  <si>
    <t xml:space="preserve">Agent Evals</t>
  </si>
  <si>
    <t xml:space="preserve">docs.langchain.com/oss/python/langchain/test/evals</t>
  </si>
  <si>
    <t xml:space="preserve">Agent Evals - Evaluate agent trajectories using deterministic matching or LLM-as-judge evaluators with AgentEvals and LangSmith.</t>
  </si>
  <si>
    <t xml:space="preserve">agentic-ai:ch8 (9), agentic-ai:ch1 (7), agentic-ai:ch3 (6)</t>
  </si>
  <si>
    <t xml:space="preserve">reference_outputs, reference_trajectory, trajectory_match_mode, call_1, trajectory_evaluator, trajectory_accuracy_prompt_with_reference, test_trajectory, your_dataset_name, trajectory_strict_match, toolargsmatchoverrides, toolargsmatchmode, tool_args_match_overrides</t>
  </si>
  <si>
    <t xml:space="preserve">L-121</t>
  </si>
  <si>
    <t xml:space="preserve">Deployment</t>
  </si>
  <si>
    <t xml:space="preserve">docs.langchain.com/oss/python/langchain/deploy</t>
  </si>
  <si>
    <t xml:space="preserve">Deployment - Deploy LangChain agents to production with LangSmith Cloud or JavaScript frameworks and hosting platforms.</t>
  </si>
  <si>
    <t xml:space="preserve">agentic-ai:ch2 (3), agentic-ai:ch20 (3), agentic-ai:ch16 (2)</t>
  </si>
  <si>
    <t xml:space="preserve">heading: prerequisit</t>
  </si>
  <si>
    <t xml:space="preserve">L-122</t>
  </si>
  <si>
    <t xml:space="preserve">LangSmith Observability</t>
  </si>
  <si>
    <t xml:space="preserve">docs.langchain.com/oss/python/langchain/observability</t>
  </si>
  <si>
    <t xml:space="preserve">agentic-ai:ch2 (5), agentic-ai:ch1 (4), agentic-ai:ch7 (2)</t>
  </si>
  <si>
    <t xml:space="preserve">heading: prerequisit, search_web, createagent</t>
  </si>
  <si>
    <t xml:space="preserve">L-123</t>
  </si>
  <si>
    <t xml:space="preserve">LangGraph</t>
  </si>
  <si>
    <t xml:space="preserve">LangGraph overview</t>
  </si>
  <si>
    <t xml:space="preserve">docs.langchain.com/oss/python/langgraph/overview</t>
  </si>
  <si>
    <t xml:space="preserve">LangGraph overview - Gain control with LangGraph to design agents that reliably handle complex tasks</t>
  </si>
  <si>
    <t xml:space="preserve">NOT READ (LangGraph not started)</t>
  </si>
  <si>
    <t xml:space="preserve">agentic-ai:ch1 (3), agentic-ai:ch19 (3), agentic-ai:ch13 (2)</t>
  </si>
  <si>
    <t xml:space="preserve">heading: acknowledgement, mock_llm, messagesstate, add_edge, add_node</t>
  </si>
  <si>
    <t xml:space="preserve">L-124</t>
  </si>
  <si>
    <t xml:space="preserve">Install LangGraph</t>
  </si>
  <si>
    <t xml:space="preserve">docs.langchain.com/oss/python/langgraph/install</t>
  </si>
  <si>
    <t xml:space="preserve">L-125</t>
  </si>
  <si>
    <t xml:space="preserve">LangGraph quickstart</t>
  </si>
  <si>
    <t xml:space="preserve">docs.langchain.com/oss/python/langgraph/quickstart</t>
  </si>
  <si>
    <t xml:space="preserve">agentic-ai:ch9 (14), agentic-ai:ch19 (13), agentic-ai:ch2 (13)</t>
  </si>
  <si>
    <t xml:space="preserve">tools_by_name, tool_node, llm_calls, llm_call, call_llm, should_continue, agent_builder, tool_result_futures, get_graph, draw_mermaid_png, pretty_print, last_message</t>
  </si>
  <si>
    <t xml:space="preserve">L-126</t>
  </si>
  <si>
    <t xml:space="preserve">Run a local server</t>
  </si>
  <si>
    <t xml:space="preserve">docs.langchain.com/oss/python/langgraph/local-server</t>
  </si>
  <si>
    <t xml:space="preserve">agentic-ai:ch2 (11), agentic-ai:ch1 (6), agentic-ai:ch20 (6)</t>
  </si>
  <si>
    <t xml:space="preserve">langgraph_sdk, heading: prerequisit, langgraph_api, baseurl, get_sync_client, node_version, get_client, createagent</t>
  </si>
  <si>
    <t xml:space="preserve">L-127</t>
  </si>
  <si>
    <t xml:space="preserve">Thinking in LangGraph</t>
  </si>
  <si>
    <t xml:space="preserve">docs.langchain.com/oss/python/langgraph/thinking-in-langgraph</t>
  </si>
  <si>
    <t xml:space="preserve">Thinking in LangGraph - Learn how to think about building agents with LangGraph</t>
  </si>
  <si>
    <t xml:space="preserve">agentic-ai:ch19 (10), agentic-ai:ch9 (9), agentic-ai:ch20 (8)</t>
  </si>
  <si>
    <t xml:space="preserve">draft_response, search_documentation, send_reply, email_content, customer_history, bug_tracking, retrypolicy, retry_policy, error_handler, search_results, human_review, max_attempts</t>
  </si>
  <si>
    <t xml:space="preserve">L-128</t>
  </si>
  <si>
    <t xml:space="preserve">Workflows and agents</t>
  </si>
  <si>
    <t xml:space="preserve">docs.langchain.com/oss/python/langgraph/workflows-agents</t>
  </si>
  <si>
    <t xml:space="preserve">agentic-ai:ch3 (5), agentic-ai:cheat (4), agentic-ai:ch9 (4)</t>
  </si>
  <si>
    <t xml:space="preserve">get_graph, draw_mermaid_png, llm_with_tools, llm_call, add_node, add_conditional_edges, add_edge, tools_by_name, router_workflow, report_sections, polish_joke, poem</t>
  </si>
  <si>
    <t xml:space="preserve">L-129</t>
  </si>
  <si>
    <t xml:space="preserve">Persistence</t>
  </si>
  <si>
    <t xml:space="preserve">docs.langchain.com/oss/python/langgraph/persistence</t>
  </si>
  <si>
    <t xml:space="preserve">Persistence - LangGraph's persistence layer gives agents short-term memory through checkpointers and long-term memory through stores.</t>
  </si>
  <si>
    <t xml:space="preserve">agentic-ai:ch6 (7), agentic-ai:ch1 (5), agentic-ai:ch19 (5)</t>
  </si>
  <si>
    <t xml:space="preserve">heading: memorysaver persist restart, heading: checkpoint grow unboundedly, memorysaver, sqlitesaver, asyncpostgressaver, uuid7</t>
  </si>
  <si>
    <t xml:space="preserve">L-130</t>
  </si>
  <si>
    <t xml:space="preserve">Checkpointers</t>
  </si>
  <si>
    <t xml:space="preserve">docs.langchain.com/oss/python/langgraph/checkpointers</t>
  </si>
  <si>
    <t xml:space="preserve">Checkpointers - LangGraph checkpointers save graph state as checkpoints at each step, enabling persistence, human-in-the-loop, and fault-tolerant execution.</t>
  </si>
  <si>
    <t xml:space="preserve">agentic-ai:ch6 (4), agentic-ai:ch5 (3), agentic-ai:ch7 (3)</t>
  </si>
  <si>
    <t xml:space="preserve">checkpoint_id, checkpoint_ns, statesnapshot, basecheckpointsaver, _deltasnapshot, get_tuple, jsonplusserializer, parent_config, node_b, channel_values, encryptedserializer, node_a</t>
  </si>
  <si>
    <t xml:space="preserve">L-131</t>
  </si>
  <si>
    <t xml:space="preserve">Stores</t>
  </si>
  <si>
    <t xml:space="preserve">docs.langchain.com/oss/python/langgraph/stores</t>
  </si>
  <si>
    <t xml:space="preserve">Stores - LangGraph stores provide cross-thread long-term memory, complementing per-thread checkpointer persistence.</t>
  </si>
  <si>
    <t xml:space="preserve">agentic-ai:ch6 (11), agentic-ai:ch10 (6), agentic-ai:ch16 (5)</t>
  </si>
  <si>
    <t xml:space="preserve">updated_at, namespace_for_memory, food_preference, memorystore, memory_id, namespace_prefix, list_namespaces, created_at, uuid7, yourstore, your_module, upstashstore</t>
  </si>
  <si>
    <t xml:space="preserve">L-132</t>
  </si>
  <si>
    <t xml:space="preserve">LangGraph fault tolerance</t>
  </si>
  <si>
    <t xml:space="preserve">docs.langchain.com/oss/python/langgraph/fault-tolerance</t>
  </si>
  <si>
    <t xml:space="preserve">Fault tolerance - Configure per-node timeouts, retries, and error handlers in LangGraph.</t>
  </si>
  <si>
    <t xml:space="preserve">agentic-ai:ch20 (6), agentic-ai:ch9 (5), agentic-ai:ch8 (4)</t>
  </si>
  <si>
    <t xml:space="preserve">retrypolicy, add_node, retry_policy, nodeerror, addnode, errorhandler, error_handler, timeoutpolicy, max_attempts, idle_timeout, set_node_defaults, setnodedefaults</t>
  </si>
  <si>
    <t xml:space="preserve">L-133</t>
  </si>
  <si>
    <t xml:space="preserve">LangGraph event streaming</t>
  </si>
  <si>
    <t xml:space="preserve">docs.langchain.com/oss/python/langgraph/event-streaming</t>
  </si>
  <si>
    <t xml:space="preserve">Event streaming - Stream LangGraph runs with typed projections for messages, state, subgraphs, output, and extensions.</t>
  </si>
  <si>
    <t xml:space="preserve">agentic-ai:ch10a (20), agentic-ai:ch10 (9), agentic-ai:ch17 (9)</t>
  </si>
  <si>
    <t xml:space="preserve">streamchannel, protocolevent, required_stream_modes, streamtransformer, toolcalltransformer, graph_name, runtime_id, heading: streamchannel, heading: channel unnam, heading: built toolcalltransformer, customtransformer, total_tokens_log</t>
  </si>
  <si>
    <t xml:space="preserve">L-134</t>
  </si>
  <si>
    <t xml:space="preserve">LangGraph streaming</t>
  </si>
  <si>
    <t xml:space="preserve">docs.langchain.com/oss/python/langgraph/streaming</t>
  </si>
  <si>
    <t xml:space="preserve">agentic-ai:ch10a (9), agentic-ai:ch19 (5), agentic-ai:ch10 (4)</t>
  </si>
  <si>
    <t xml:space="preserve">node_name, message_chunk, on_tool_event, add_node, add_edge, on_tool_end, toolcallid, task_id, on_tool_start, on_tool_error, streammode, generate_joke</t>
  </si>
  <si>
    <t xml:space="preserve">L-135</t>
  </si>
  <si>
    <t xml:space="preserve">Interrupts</t>
  </si>
  <si>
    <t xml:space="preserve">docs.langchain.com/oss/python/langgraph/interrupts</t>
  </si>
  <si>
    <t xml:space="preserve">agentic-ai:ch10 (15), agentic-ai:ch8 (12), agentic-ai:ch19 (11)</t>
  </si>
  <si>
    <t xml:space="preserve">node_a, interrupt_before, interrupt_after, interruptafter, responseschema, interruptbefore, approval_node, some_thread, pendingquestion, pending_question, pending_approval, final_to</t>
  </si>
  <si>
    <t xml:space="preserve">L-136</t>
  </si>
  <si>
    <t xml:space="preserve">Use time-travel</t>
  </si>
  <si>
    <t xml:space="preserve">docs.langchain.com/oss/python/langgraph/use-time-travel</t>
  </si>
  <si>
    <t xml:space="preserve">Use time-travel - Replay past executions and fork to explore alternative paths in LangGraph</t>
  </si>
  <si>
    <t xml:space="preserve">agentic-ai:ch19 (12), agentic-ai:ch7 (7), agentic-ai:ch10 (6)</t>
  </si>
  <si>
    <t xml:space="preserve">update_state, fork_config, get_state_history, as_node, before_joke, write_joke, subgraph_node, replay_result, generate_topic, fork_result, add_edge, step_b</t>
  </si>
  <si>
    <t xml:space="preserve">L-137</t>
  </si>
  <si>
    <t xml:space="preserve">LangGraph memory</t>
  </si>
  <si>
    <t xml:space="preserve">docs.langchain.com/oss/python/langgraph/add-memory</t>
  </si>
  <si>
    <t xml:space="preserve">agentic-ai:ch6 (9), agentic-ai:ch2 (8), agentic-ai:cheat (7)</t>
  </si>
  <si>
    <t xml:space="preserve">call_model, messagesstate, db_uri, add_edge, add_node, system_msg, pretty_print, last_message, checkpoint_id, langgraph_oracledb, freepdb1, uuid7</t>
  </si>
  <si>
    <t xml:space="preserve">L-138</t>
  </si>
  <si>
    <t xml:space="preserve">Subgraphs</t>
  </si>
  <si>
    <t xml:space="preserve">docs.langchain.com/oss/python/langgraph/use-subgraphs</t>
  </si>
  <si>
    <t xml:space="preserve">agentic-ai:ch19 (7), agentic-ai:ch9 (6), agentic-ai:ch16 (5)</t>
  </si>
  <si>
    <t xml:space="preserve">subgraph_builder, subgraph_node_1, node_1, updatestransformer, fruit_info, add_node, node_2, subgraphstate, subgraph_node_2, mychildkey, fruit_name, add_edge</t>
  </si>
  <si>
    <t xml:space="preserve">L-139</t>
  </si>
  <si>
    <t xml:space="preserve">Application structure</t>
  </si>
  <si>
    <t xml:space="preserve">docs.langchain.com/oss/python/langgraph/application-structure</t>
  </si>
  <si>
    <t xml:space="preserve">agentic-ai:ch2 (6), agentic-ai:ch20 (5), agentic-ai:ch16 (4)</t>
  </si>
  <si>
    <t xml:space="preserve">your_package, your_file, my_agent, langchain_openai, dockerfile_lines</t>
  </si>
  <si>
    <t xml:space="preserve">L-140</t>
  </si>
  <si>
    <t xml:space="preserve">LangGraph test</t>
  </si>
  <si>
    <t xml:space="preserve">docs.langchain.com/oss/python/langgraph/test</t>
  </si>
  <si>
    <t xml:space="preserve">agentic-ai:ch19 (5), agentic-ai:ch6 (4), agentic-ai:ch10 (4)</t>
  </si>
  <si>
    <t xml:space="preserve">my_key, initial_value, create_graph, compiled_graph, update_state, memorysaver, heading: edges individual nodes test, interrupt_after, as_node, add_edge, add_node, heading: prerequisit</t>
  </si>
  <si>
    <t xml:space="preserve">L-141</t>
  </si>
  <si>
    <t xml:space="preserve">Backward compatibility</t>
  </si>
  <si>
    <t xml:space="preserve">docs.langchain.com/oss/python/langgraph/backward-compatibility</t>
  </si>
  <si>
    <t xml:space="preserve">Backward compatibility - Update LangGraph graph code in production without breaking in-flight runs.</t>
  </si>
  <si>
    <t xml:space="preserve">agentic-ai:ch19 (7), agentic-ai:ch17 (3), agentic-ai:ch9 (3)</t>
  </si>
  <si>
    <t xml:space="preserve">policy_check, flow_version, heading: detect flight thread, heading: compatibility technical, getstate, heading: determinism, after_triage, getstatehistory, get_state_history, add_conditional_edges, add_edge, add_node</t>
  </si>
  <si>
    <t xml:space="preserve">L-142</t>
  </si>
  <si>
    <t xml:space="preserve">LangGraph Studio</t>
  </si>
  <si>
    <t xml:space="preserve">docs.langchain.com/oss/python/langgraph/studio</t>
  </si>
  <si>
    <t xml:space="preserve">heading: prerequisit, createagent</t>
  </si>
  <si>
    <t xml:space="preserve">L-143</t>
  </si>
  <si>
    <t xml:space="preserve">LangGraph Agent Chat UI</t>
  </si>
  <si>
    <t xml:space="preserve">docs.langchain.com/oss/python/langgraph/ui</t>
  </si>
  <si>
    <t xml:space="preserve">L-144</t>
  </si>
  <si>
    <t xml:space="preserve">LangGraph deployment</t>
  </si>
  <si>
    <t xml:space="preserve">docs.langchain.com/oss/python/langgraph/deploy</t>
  </si>
  <si>
    <t xml:space="preserve">Deployment - Deploy LangGraph agents to production with LangSmith Cloud or JavaScript frameworks and hosting platforms.</t>
  </si>
  <si>
    <t xml:space="preserve">agentic-ai:ch2 (8), agentic-ai:ch20 (7), agentic-ai:ch16 (4)</t>
  </si>
  <si>
    <t xml:space="preserve">heading: prerequisit, get_sync_client, deployment_url, langgraph_sdk, get_client</t>
  </si>
  <si>
    <t xml:space="preserve">L-145</t>
  </si>
  <si>
    <t xml:space="preserve">LangGraph observability</t>
  </si>
  <si>
    <t xml:space="preserve">docs.langchain.com/oss/python/langgraph/observability</t>
  </si>
  <si>
    <t xml:space="preserve">agentic-ai:ch2 (9), agentic-ai:ch8 (2), agentic-ai:ch3 (2)</t>
  </si>
  <si>
    <t xml:space="preserve">session_456, session_id, user_123, heading: prerequisit, with_config, tracer_session_name, tracer_client, langchaintracer, create_anonymizer, project_name, messagesstate</t>
  </si>
  <si>
    <t xml:space="preserve">L-146</t>
  </si>
  <si>
    <t xml:space="preserve">LangGraph frontend overview</t>
  </si>
  <si>
    <t xml:space="preserve">docs.langchain.com/oss/python/langgraph/frontend/overview</t>
  </si>
  <si>
    <t xml:space="preserve">Overview - Render LangGraph agents to the frontend</t>
  </si>
  <si>
    <t xml:space="preserve">agentic-ai:ch9 (5), agentic-ai:ch10 (4), agentic-ai:ch17 (4)</t>
  </si>
  <si>
    <t xml:space="preserve">synthesize_node, research_node, analyze_node, useextension, usechannel, injectstream, do_research, classify_node, usemessages, messagesstate, createdeepagent, add_edge</t>
  </si>
  <si>
    <t xml:space="preserve">L-147</t>
  </si>
  <si>
    <t xml:space="preserve">Graph execution</t>
  </si>
  <si>
    <t xml:space="preserve">docs.langchain.com/oss/python/langgraph/frontend/graph-execution</t>
  </si>
  <si>
    <t xml:space="preserve">Graph execution - Visualize multi-step graph pipelines with per-node status and streaming content</t>
  </si>
  <si>
    <t xml:space="preserve">agentic-ai:ch9 (4), agentic-ai:ch17 (3), agentic-ai:ch20 (3)</t>
  </si>
  <si>
    <t xml:space="preserve">heading: dynamic handl pipelin, heading: cards graph nodes, heading: build collapsible component nodecard, usemessages, usestream, heading: sett usestream, subgraphdiscoverysnapshot, nodename, do_research</t>
  </si>
  <si>
    <t xml:space="preserve">L-148</t>
  </si>
  <si>
    <t xml:space="preserve">Custom stream channels</t>
  </si>
  <si>
    <t xml:space="preserve">docs.langchain.com/oss/python/langgraph/frontend/custom-stream-channels</t>
  </si>
  <si>
    <t xml:space="preserve">Custom stream channels - Stream custom server-side data to the frontend and read it with useExtension and useChannel</t>
  </si>
  <si>
    <t xml:space="preserve">agentic-ai:ch8 (2), agentic-ai:ch9 (2)</t>
  </si>
  <si>
    <t xml:space="preserve">useextension, usechannel, streamchannel, create_redaction_stats_transformer, buffersize, heading: latest payload useextension, heading: choos usechannel useextension, heading: buffer event usechannel, streamtransformer, usemessages, heading: sett usestream, usevalues</t>
  </si>
  <si>
    <t xml:space="preserve">L-149</t>
  </si>
  <si>
    <t xml:space="preserve">LangGraph runtime</t>
  </si>
  <si>
    <t xml:space="preserve">docs.langchain.com/oss/python/langgraph/pregel</t>
  </si>
  <si>
    <t xml:space="preserve">agentic-ai:ch19 (8), agentic-ai:ch9 (5), agentic-ai:ch6 (4)</t>
  </si>
  <si>
    <t xml:space="preserve">deltachannel, write_to, subscribe_only, output_channels, nodebuilder, input_channels, ephemeralvalue, binaryoperatoraggregate, snapshot_frequency, lastvalue, my_reducer, heading: reducer requirement</t>
  </si>
  <si>
    <t xml:space="preserve">L-150</t>
  </si>
  <si>
    <t xml:space="preserve">Choosing between Graph and Functional APIs</t>
  </si>
  <si>
    <t xml:space="preserve">docs.langchain.com/oss/python/langgraph/choosing-apis</t>
  </si>
  <si>
    <t xml:space="preserve">agentic-ai:ch13 (5), agentic-ai:ch19 (5), agentic-ai:ch2 (5)</t>
  </si>
  <si>
    <t xml:space="preserve">heading: functional graph, process_step1, add_node, workflowstate, search_node, process_step2, input_data, final_result, heading: functional, user_input, add_conditional_edges, write_draft</t>
  </si>
  <si>
    <t xml:space="preserve">L-151</t>
  </si>
  <si>
    <t xml:space="preserve">Graph API overview</t>
  </si>
  <si>
    <t xml:space="preserve">docs.langchain.com/oss/python/langgraph/graph-api</t>
  </si>
  <si>
    <t xml:space="preserve">Graph API overview - LangGraph models agent workflows as graphs: define state, nodes, and edges with StateGraph to build looping, stateful workflows.</t>
  </si>
  <si>
    <t xml:space="preserve">agentic-ai:ch19 (9), agentic-ai:ch9 (7), agentic-ai:ch6 (4)</t>
  </si>
  <si>
    <t xml:space="preserve">routing_function, langgraph_step, graphrecursionerror, node_a, messagesvalue, add_edge, my_other_node, my_node, add_conditional_edges, routingfunction, privatestate, reducedvalue</t>
  </si>
  <si>
    <t xml:space="preserve">L-152</t>
  </si>
  <si>
    <t xml:space="preserve">Use the graph API</t>
  </si>
  <si>
    <t xml:space="preserve">docs.langchain.com/oss/python/langgraph/use-graph-api</t>
  </si>
  <si>
    <t xml:space="preserve">agentic-ai:ch3 (6), agentic-ai:ch10 (6), agentic-ai:ch9 (5)</t>
  </si>
  <si>
    <t xml:space="preserve">add_node, add_edge, get_graph, draw_mermaid_png, retrypolicy, retry_policy, graphrecursionerror, extra_field, value_1, step_1, my_node, add_conditional_edges</t>
  </si>
  <si>
    <t xml:space="preserve">L-153</t>
  </si>
  <si>
    <t xml:space="preserve">Functional API overview</t>
  </si>
  <si>
    <t xml:space="preserve">docs.langchain.com/oss/python/langgraph/functional-api</t>
  </si>
  <si>
    <t xml:space="preserve">agentic-ai:ch10 (9), agentic-ai:ch5 (7), agentic-ai:ch8 (7)</t>
  </si>
  <si>
    <t xml:space="preserve">my_workflow, some_thread_id, some_input, some_resume_value, slow_computation, getpreviousstate, delta_t, heading: injectable parameter, heading: entrypoint final, heading: common pitfall, slow_task, heading: functional graph</t>
  </si>
  <si>
    <t xml:space="preserve">L-154</t>
  </si>
  <si>
    <t xml:space="preserve">Use the functional API</t>
  </si>
  <si>
    <t xml:space="preserve">docs.langchain.com/oss/python/langgraph/use-functional-api</t>
  </si>
  <si>
    <t xml:space="preserve">agentic-ai:ch10 (10), agentic-ai:ch1 (9), agentic-ai:ch8 (9)</t>
  </si>
  <si>
    <t xml:space="preserve">get_info, call_model, step_1, checkpoint_id, review_tool_call, human_feedback, checkpoint_ns, uuid7, slow_task, streamwriter, nodetimeouterror, input_query</t>
  </si>
  <si>
    <t xml:space="preserve">L-155</t>
  </si>
  <si>
    <t xml:space="preserve">OpenWiki</t>
  </si>
  <si>
    <t xml:space="preserve">docs.langchain.com/oss/openwiki/overview</t>
  </si>
  <si>
    <t xml:space="preserve">L-156</t>
  </si>
  <si>
    <t xml:space="preserve">OpenWiki quickstart</t>
  </si>
  <si>
    <t xml:space="preserve">docs.langchain.com/oss/openwiki/quickstart</t>
  </si>
  <si>
    <t xml:space="preserve">L-157</t>
  </si>
  <si>
    <t xml:space="preserve">Coding-agent integrations</t>
  </si>
  <si>
    <t xml:space="preserve">docs.langchain.com/oss/openwiki/integrations</t>
  </si>
  <si>
    <t xml:space="preserve">L-158</t>
  </si>
  <si>
    <t xml:space="preserve">Search and link wikis</t>
  </si>
  <si>
    <t xml:space="preserve">docs.langchain.com/oss/openwiki/search-and-link</t>
  </si>
  <si>
    <t xml:space="preserve">L-159</t>
  </si>
  <si>
    <t xml:space="preserve">Visualize your wiki</t>
  </si>
  <si>
    <t xml:space="preserve">docs.langchain.com/oss/openwiki/visualize</t>
  </si>
  <si>
    <t xml:space="preserve">L-160</t>
  </si>
  <si>
    <t xml:space="preserve">Command reference</t>
  </si>
  <si>
    <t xml:space="preserve">docs.langchain.com/oss/openwiki/cli-reference</t>
  </si>
  <si>
    <t xml:space="preserve">L-161</t>
  </si>
  <si>
    <t xml:space="preserve">Customize OpenWiki</t>
  </si>
  <si>
    <t xml:space="preserve">docs.langchain.com/oss/openwiki/customize</t>
  </si>
  <si>
    <t xml:space="preserve">L-162</t>
  </si>
  <si>
    <t xml:space="preserve">Model providers</t>
  </si>
  <si>
    <t xml:space="preserve">docs.langchain.com/oss/openwiki/providers</t>
  </si>
  <si>
    <t xml:space="preserve">L-163</t>
  </si>
  <si>
    <t xml:space="preserve">Automate updates</t>
  </si>
  <si>
    <t xml:space="preserve">docs.langchain.com/oss/openwiki/automate-updates</t>
  </si>
  <si>
    <t xml:space="preserve">L-164</t>
  </si>
  <si>
    <t xml:space="preserve">Code mode</t>
  </si>
  <si>
    <t xml:space="preserve">docs.langchain.com/oss/openwiki/code-mode</t>
  </si>
  <si>
    <t xml:space="preserve">L-165</t>
  </si>
  <si>
    <t xml:space="preserve">Personal mode</t>
  </si>
  <si>
    <t xml:space="preserve">docs.langchain.com/oss/openwiki/personal-mode</t>
  </si>
  <si>
    <t xml:space="preserve">L-166</t>
  </si>
  <si>
    <t xml:space="preserve">Build a data analysis agent</t>
  </si>
  <si>
    <t xml:space="preserve">docs.langchain.com/oss/python/deepagents/data-analysis</t>
  </si>
  <si>
    <t xml:space="preserve">Build a data analysis agent - Build an agent that analyzes data files, generates visualizations, and shares results</t>
  </si>
  <si>
    <t xml:space="preserve">agentic-ai:ch2 (8), agentic-ai:ch20 (8), agentic-ai:ch16 (8)</t>
  </si>
  <si>
    <t xml:space="preserve">heading: enable plann, sales_data, download_files, value_counts, to_datetime, tight_layout, sort_values, slack_send_message, set_ylabel, set_xlabel, set_title, set_style</t>
  </si>
  <si>
    <t xml:space="preserve">L-167</t>
  </si>
  <si>
    <t xml:space="preserve">Build a deep research agent</t>
  </si>
  <si>
    <t xml:space="preserve">docs.langchain.com/oss/python/deepagents/deep-research</t>
  </si>
  <si>
    <t xml:space="preserve">Build a deep research agent - Build a multi-step web research agent with subagent delegation using Managed Deep Agents or the Deep Agents SDK</t>
  </si>
  <si>
    <t xml:space="preserve">agentic-ai:ch2 (11), agentic-ai:ch1 (9), agentic-ai:ch7 (8)</t>
  </si>
  <si>
    <t xml:space="preserve">tavily_api_key, your_tavily_api_key, your_langsmith_api_key, tavily_search, your_google_api_key, your_anthropic_api_key, heading: prerequisit, researcher_instructions, research_workflow_instructions, subagent_delegation_instructions, createdeepagent</t>
  </si>
  <si>
    <t xml:space="preserve">L-168</t>
  </si>
  <si>
    <t xml:space="preserve">Build a content builder agent</t>
  </si>
  <si>
    <t xml:space="preserve">docs.langchain.com/oss/python/deepagents/content-builder</t>
  </si>
  <si>
    <t xml:space="preserve">Build a content builder agent - Build a content writing agent with brand voice, skills, subagents, and image generation using Managed Deep Agents or the Deep Agents SDK</t>
  </si>
  <si>
    <t xml:space="preserve">agentic-ai:ch2 (12), agentic-ai:ch19 (10), agentic-ai:ch16 (10)</t>
  </si>
  <si>
    <t xml:space="preserve">content_writer, tavily_api_key, load_subagents, your_tavily_api_key, your_langsmith_api_key, your_google_api_key, your_anthropic_api_key, heading: prerequisit, generate_social_image, generate_cover, root_dir, createdeepagent</t>
  </si>
  <si>
    <t xml:space="preserve">L-169</t>
  </si>
  <si>
    <t xml:space="preserve">RAG with Deep Agents</t>
  </si>
  <si>
    <t xml:space="preserve">docs.langchain.com/oss/python/deepagents/rag</t>
  </si>
  <si>
    <t xml:space="preserve">Retrieval Augmented Generation (RAG) with Deep Agents - RAG patterns for Deep Agents, including skills-guided retrieval, rubric grading, and a tutorial that indexes LangChain docs, offloads chunks to the filesystem, and delegates analysis to subagents</t>
  </si>
  <si>
    <t xml:space="preserve">agentic-ai:ch20 (14), agentic-ai:ch2 (14), agentic-ai:ch1 (12)</t>
  </si>
  <si>
    <t xml:space="preserve">search_documentation, your_openai_api_key, doc_paths, your_google_api_key, your_anthropic_api_key, textsplitter, heading: consideration security, recursivecharactertextsplitter, heading: prerequisit, rag_workflow_instructions, max_concurrent_analysts, chunk_analyst_instructions</t>
  </si>
  <si>
    <t xml:space="preserve">L-170</t>
  </si>
  <si>
    <t xml:space="preserve">Build a data analysis agent from scratch</t>
  </si>
  <si>
    <t xml:space="preserve">docs.langchain.com/oss/python/langchain/deep-agent-from-scratch</t>
  </si>
  <si>
    <t xml:space="preserve">Build a data analysis agent from scratch - Build a data analysis agent step by step using create_agent and Deep Agents middleware.</t>
  </si>
  <si>
    <t xml:space="preserve">agentic-ai:ch2 (17), agentic-ai:ch1 (14), agentic-ai:ch7 (10)</t>
  </si>
  <si>
    <t xml:space="preserve">langsmithsandbox, heading: subagent visualization, snapshotid, snapshot_name, snapshot_id, analyze_sales, sandboxclient, invalid_path, create_sandbox, createdeepagent</t>
  </si>
  <si>
    <t xml:space="preserve">L-171</t>
  </si>
  <si>
    <t xml:space="preserve">Build a semantic search engine with LangChain</t>
  </si>
  <si>
    <t xml:space="preserve">docs.langchain.com/oss/python/langchain/knowledge-base</t>
  </si>
  <si>
    <t xml:space="preserve">agentic-ai:ch20 (16), agentic-ai:ch2 (12), agentic-ai:ch6 (8)</t>
  </si>
  <si>
    <t xml:space="preserve">page_content, example_data, start_index, nike, retail, similarity_search, vectorstoreretriever, fiscal, all_splits, add_start_index, search_kwargs, as_retriever</t>
  </si>
  <si>
    <t xml:space="preserve">L-172</t>
  </si>
  <si>
    <t xml:space="preserve">Build a SQL agent</t>
  </si>
  <si>
    <t xml:space="preserve">docs.langchain.com/oss/python/langchain/sql-agent</t>
  </si>
  <si>
    <t xml:space="preserve">agentic-ai:ch16 (16), agentic-ai:ch10 (15), agentic-ai:ch2 (11)</t>
  </si>
  <si>
    <t xml:space="preserve">sql_agent, sqlagent, sql_agent_langgraph, _safe_sql, table_names, nvarchar, numeric, foreign, createagent</t>
  </si>
  <si>
    <t xml:space="preserve">L-173</t>
  </si>
  <si>
    <t xml:space="preserve">Build a voice agent with LangChain</t>
  </si>
  <si>
    <t xml:space="preserve">docs.langchain.com/oss/python/langchain/voice-agent</t>
  </si>
  <si>
    <t xml:space="preserve">agentic-ai:ch10a (8), agentic-ai:ch20 (6), agentic-ai:ch6 (6)</t>
  </si>
  <si>
    <t xml:space="preserve">receive_events, sample_rate, audio_chunk, tts_stream, stt_stream, send_text, send_audio, raw_message, event_stream, cartesiatts, assemblyaistt, agent_stream</t>
  </si>
  <si>
    <t xml:space="preserve">Add the missing concepts to LangChain ch10a</t>
  </si>
  <si>
    <t xml:space="preserve">L-174</t>
  </si>
  <si>
    <t xml:space="preserve">Tutorial: personal assistant with subagents</t>
  </si>
  <si>
    <t xml:space="preserve">docs.langchain.com/oss/python/langchain/multi-agent/subagents-personal-assistant</t>
  </si>
  <si>
    <t xml:space="preserve">Build a personal assistant with subagents</t>
  </si>
  <si>
    <t xml:space="preserve">agentic-ai:ch19 (14), agentic-ai:ch10 (12), agentic-ai:ch20 (11)</t>
  </si>
  <si>
    <t xml:space="preserve">supervisor_agent, calendar_agent, email_agent, end_time, start_time, duration_minutes, supervisor_prompt, email_agent_prompt, calendar_agent_prompt, heading: agent create specializ</t>
  </si>
  <si>
    <t xml:space="preserve">L-175</t>
  </si>
  <si>
    <t xml:space="preserve">Tutorial: customer support with handoffs</t>
  </si>
  <si>
    <t xml:space="preserve">docs.langchain.com/oss/python/langchain/multi-agent/handoffs-customer-support</t>
  </si>
  <si>
    <t xml:space="preserve">Build customer support with handoffs</t>
  </si>
  <si>
    <t xml:space="preserve">agentic-ai:ch19 (18), agentic-ai:ch10 (8), agentic-ai:ch8 (8)</t>
  </si>
  <si>
    <t xml:space="preserve">warranty_status, issue_type, record_issue_type, in_warranty, escalate_to_human, record_warranty_status, provide_solution, step_config, resolution_specialist_prompt, warranty_collector_prompt, issue_classifier_prompt, apply_step_config</t>
  </si>
  <si>
    <t xml:space="preserve">L-176</t>
  </si>
  <si>
    <t xml:space="preserve">Tutorial: multi-source knowledge base with routing</t>
  </si>
  <si>
    <t xml:space="preserve">docs.langchain.com/oss/python/langchain/multi-agent/router-knowledge-base</t>
  </si>
  <si>
    <t xml:space="preserve">Build a multi-source knowledge base with routing</t>
  </si>
  <si>
    <t xml:space="preserve">agentic-ai:ch19 (13), agentic-ai:ch20 (4), agentic-ai:ch16 (2)</t>
  </si>
  <si>
    <t xml:space="preserve">route_to_agents, final_answer, synthesize_results, classify_query, slack_agent, query_slack, query_notion, query_github, notion_agent, github_agent, add_conditional_edges, synthesis_response</t>
  </si>
  <si>
    <t xml:space="preserve">L-177</t>
  </si>
  <si>
    <t xml:space="preserve">Tutorial: SQL assistant with on-demand skills</t>
  </si>
  <si>
    <t xml:space="preserve">docs.langchain.com/oss/python/langchain/multi-agent/skills-sql-assistant</t>
  </si>
  <si>
    <t xml:space="preserve">Build a SQL assistant with on-demand skills</t>
  </si>
  <si>
    <t xml:space="preserve">agentic-ai:ch19 (7), agentic-ai:ch16 (4), agentic-ai:cheat (3)</t>
  </si>
  <si>
    <t xml:space="preserve">skillmiddleware, total_amount, write_sql_query, skills_loaded, signup_date, sales_region, order_id, order_date, customer_tier, current_date, interval, foreign</t>
  </si>
  <si>
    <t xml:space="preserve">L-178</t>
  </si>
  <si>
    <t xml:space="preserve">Build a custom RAG agent with LangGraph</t>
  </si>
  <si>
    <t xml:space="preserve">docs.langchain.com/oss/python/langgraph/agentic-rag</t>
  </si>
  <si>
    <t xml:space="preserve">Build a custom RAG agent with LangGraph - Build a custom retrieval agent with LangGraph that decides when to search a vector store or respond directly.</t>
  </si>
  <si>
    <t xml:space="preserve">agentic-ai:ch1 (9), agentic-ai:ch2 (8), agentic-ai:cheat (6)</t>
  </si>
  <si>
    <t xml:space="preserve">generatequeryorrespond, generate_query_or_respond, rewrite_question, retriever_tool, gradedocuments, generate_answer, retrieve_blog_posts, grade_documents, heading: generate query respond, heading: document preproces, messagesannotation, createretrievertool</t>
  </si>
  <si>
    <t xml:space="preserve">L-179</t>
  </si>
  <si>
    <t xml:space="preserve">Build a custom SQL agent</t>
  </si>
  <si>
    <t xml:space="preserve">docs.langchain.com/oss/python/langgraph/sql-agent</t>
  </si>
  <si>
    <t xml:space="preserve">agentic-ai:ch16 (16), agentic-ai:ch10 (13), agentic-ai:ch2 (12)</t>
  </si>
  <si>
    <t xml:space="preserve">table_names, nvarchar, numeric, foreign</t>
  </si>
  <si>
    <t xml:space="preserve">L-180</t>
  </si>
  <si>
    <t xml:space="preserve">Runtimes, frameworks, and harnesses</t>
  </si>
  <si>
    <t xml:space="preserve">docs.langchain.com/oss/python/concepts/products</t>
  </si>
  <si>
    <t xml:space="preserve">Runtimes, frameworks, and harnesses - Understand the differences between LangChain, LangGraph, and Deep Agents and when to use each one</t>
  </si>
  <si>
    <t xml:space="preserve">Read (text and tables; long code samples skimmed)</t>
  </si>
  <si>
    <t xml:space="preserve">agentic-ai:ch2 (8), agentic-ai:ch18 (7), agentic-ai:ch3 (6)</t>
  </si>
  <si>
    <t xml:space="preserve">L-181</t>
  </si>
  <si>
    <t xml:space="preserve">Providers and models</t>
  </si>
  <si>
    <t xml:space="preserve">docs.langchain.com/oss/python/concepts/providers-and-models</t>
  </si>
  <si>
    <t xml:space="preserve">Providers and models - Understand how LangChain uses providers to give you a single API for any model from any provider</t>
  </si>
  <si>
    <t xml:space="preserve">agentic-ai:ch3 (11), agentic-ai:ch1 (7), agentic-ai:ch16 (6)</t>
  </si>
  <si>
    <t xml:space="preserve">heading: proxi router, langchain_openai, google_model, openai_model, chatlitellm, anthropic_model, google_genai</t>
  </si>
  <si>
    <t xml:space="preserve">L-182</t>
  </si>
  <si>
    <t xml:space="preserve">Component architecture</t>
  </si>
  <si>
    <t xml:space="preserve">docs.langchain.com/oss/python/langchain/component-architecture</t>
  </si>
  <si>
    <t xml:space="preserve">agentic-ai:ch20 (4), agentic-ai:ch16 (4), agentic-ai:ch17 (4)</t>
  </si>
  <si>
    <t xml:space="preserve">heading: component ecosystem, heading: categori component, heading: augment generation retrieval</t>
  </si>
  <si>
    <t xml:space="preserve">L-183</t>
  </si>
  <si>
    <t xml:space="preserve">Memory overview</t>
  </si>
  <si>
    <t xml:space="preserve">docs.langchain.com/oss/python/concepts/memory</t>
  </si>
  <si>
    <t xml:space="preserve">agentic-ai:ch6 (12), agentic-ai:ch2 (7), agentic-ai:ch10 (7)</t>
  </si>
  <si>
    <t xml:space="preserve">update_instructions, call_model, prompt_template, new_instructions, application_context, agent_instructions, agent_a</t>
  </si>
  <si>
    <t xml:space="preserve">L-184</t>
  </si>
  <si>
    <t xml:space="preserve">Context overview</t>
  </si>
  <si>
    <t xml:space="preserve">docs.langchain.com/oss/python/concepts/context</t>
  </si>
  <si>
    <t xml:space="preserve">agentic-ai:ch10 (11), agentic-ai:ch6 (8), agentic-ai:glossary (8)</t>
  </si>
  <si>
    <t xml:space="preserve">personalized_prompt, customstate, get_user_email_from_db, get_user_email, extra_field, set_entry_point, contextschema, anymessage, add_node</t>
  </si>
  <si>
    <t xml:space="preserve">L-185</t>
  </si>
  <si>
    <t xml:space="preserve">Human-in-the-loop overview</t>
  </si>
  <si>
    <t xml:space="preserve">docs.langchain.com/oss/python/concepts/human-in-the-loop</t>
  </si>
  <si>
    <t xml:space="preserve">Human-in-the-loop overview - How agents pause tool calls for human review, and how per-call and batched interrupts differ.</t>
  </si>
  <si>
    <t xml:space="preserve">agentic-ai:ch10 (14), agentic-ai:ch7 (6), agentic-ai:ch18 (6)</t>
  </si>
  <si>
    <t xml:space="preserve">read_data, actionrequests, tool_approval, reviewconfigs, interrupton, created_at, write_file_interrupt, execute_sql_interrupt, call_sql, orders_archive, usestream</t>
  </si>
  <si>
    <t xml:space="preserve">L-186</t>
  </si>
  <si>
    <t xml:space="preserve">Case studies</t>
  </si>
  <si>
    <t xml:space="preserve">docs.langchain.com/oss/python/langgraph/case-studies</t>
  </si>
  <si>
    <t xml:space="preserve">L-187</t>
  </si>
  <si>
    <t xml:space="preserve">Get help</t>
  </si>
  <si>
    <t xml:space="preserve">docs.langchain.com/oss/python/langchain/get-help</t>
  </si>
  <si>
    <t xml:space="preserve">agentic-ai:ch16 (3), agentic-ai:ch12 (2), agentic-ai:ch14 (2)</t>
  </si>
  <si>
    <t xml:space="preserve">heading: professional support, heading: contribute</t>
  </si>
  <si>
    <t xml:space="preserve">L-188</t>
  </si>
  <si>
    <t xml:space="preserve">Errors</t>
  </si>
  <si>
    <t xml:space="preserve">docs.langchain.com/oss/python/common-errors</t>
  </si>
  <si>
    <t xml:space="preserve">L-189</t>
  </si>
  <si>
    <t xml:space="preserve">Versioning</t>
  </si>
  <si>
    <t xml:space="preserve">docs.langchain.com/oss/python/versioning</t>
  </si>
  <si>
    <t xml:space="preserve">agentic-ai:ch2 (13), agentic-ai:ch18 (6), agentic-ai:ch5 (6)</t>
  </si>
  <si>
    <t xml:space="preserve">heading: stability, heading: cycl release</t>
  </si>
  <si>
    <t xml:space="preserve">L-190</t>
  </si>
  <si>
    <t xml:space="preserve">Changelog</t>
  </si>
  <si>
    <t xml:space="preserve">docs.langchain.com/oss/python/releases/changelog</t>
  </si>
  <si>
    <t xml:space="preserve">Changelog - Log of updates and improvements to our Python packages</t>
  </si>
  <si>
    <t xml:space="preserve">agentic-ai:ch10 (8), agentic-ai:ch10a (7), agentic-ai:cheat (6)</t>
  </si>
  <si>
    <t xml:space="preserve">deltachannel, storebackend, backend_types, readresult, fileformat, backendfactory, backendprotocol, snapshot_frequency, graphdrained, filedata, encrypted_content, add_node</t>
  </si>
  <si>
    <t xml:space="preserve">Add the missing concepts to LangChain ch2</t>
  </si>
  <si>
    <t xml:space="preserve">L-191</t>
  </si>
  <si>
    <t xml:space="preserve">What's new in LangChain v1</t>
  </si>
  <si>
    <t xml:space="preserve">docs.langchain.com/oss/python/releases/langchain-v1</t>
  </si>
  <si>
    <t xml:space="preserve">agentic-ai:ch2 (16), agentic-ai:ch1 (11), agentic-ai:glossary (11)</t>
  </si>
  <si>
    <t xml:space="preserve">outputfixingparser, init_embeddings, weather_tool, user_level, user_expertise, simple_search, expertisebasedtoolmiddleware, data_analysis, basic_calculator, retryoutputparser, phone_number, output_parsers</t>
  </si>
  <si>
    <t xml:space="preserve">L-192</t>
  </si>
  <si>
    <t xml:space="preserve">What's new in LangGraph v1</t>
  </si>
  <si>
    <t xml:space="preserve">docs.langchain.com/oss/python/releases/langgraph-v1</t>
  </si>
  <si>
    <t xml:space="preserve">agentic-ai:ch2 (2), agentic-ai:ch8 (2)</t>
  </si>
  <si>
    <t xml:space="preserve">L-193</t>
  </si>
  <si>
    <t xml:space="preserve">LangChain v1 migration guide</t>
  </si>
  <si>
    <t xml:space="preserve">docs.langchain.com/oss/python/migrate/langchain-v1</t>
  </si>
  <si>
    <t xml:space="preserve">agentic-ai:ch2 (19), agentic-ai:cheat (14), agentic-ai:ch9 (13)</t>
  </si>
  <si>
    <t xml:space="preserve">check_weather, search_web, langchain_classic, base_prompt, heading: restriction state, heading: prompt rename static, heading: content standardiz</t>
  </si>
  <si>
    <t xml:space="preserve">L-194</t>
  </si>
  <si>
    <t xml:space="preserve">LangGraph v1 migration guide</t>
  </si>
  <si>
    <t xml:space="preserve">docs.langchain.com/oss/python/migrate/langgraph-v1</t>
  </si>
  <si>
    <t xml:space="preserve">agentic-ai:ch2 (5), agentic-ai:ch9 (5), agentic-ai:cheat (4)</t>
  </si>
  <si>
    <t xml:space="preserve">validationnode, messagegraph, humaninterruptconfig, humaninterrupt, agentstatewithstructuredresponse, agentstatepydantic, actionrequest, agentstatewithstructuredresponsepydantic, heading: deprecation, human_in_the_loop, memorysaver</t>
  </si>
  <si>
    <t xml:space="preserve">L-195</t>
  </si>
  <si>
    <t xml:space="preserve">Migrate from langgraph-supervisor</t>
  </si>
  <si>
    <t xml:space="preserve">docs.langchain.com/oss/python/migrate/langgraph-supervisor</t>
  </si>
  <si>
    <t xml:space="preserve">Migrate from langgraph-supervisor - Migrate from the langgraph-supervisor package to the subagents pattern with create_agent and tool-wrapped subagents.</t>
  </si>
  <si>
    <t xml:space="preserve">agentic-ai:ch2 (6), agentic-ai:ch13 (6), agentic-ai:ch18 (6)</t>
  </si>
  <si>
    <t xml:space="preserve">create_supervisor, preview_tool, output_mode, full_history, create_handoff_tool, langgraph_supervisor, heading: migrate nest supervisor, heading: interrupt propagation requirement, heading: flows interrupt preserve resume, last_message, researchagent, research_expert</t>
  </si>
  <si>
    <t xml:space="preserve">L-196</t>
  </si>
  <si>
    <t xml:space="preserve">Migrate from langchain-mcp-adapters</t>
  </si>
  <si>
    <t xml:space="preserve">docs.langchain.com/oss/python/migrate/langchain-mcp-adapters</t>
  </si>
  <si>
    <t xml:space="preserve">Migrate from langchain-mcp-adapters - Migrate from the standalone langchain-mcp-adapters package to the built-in langchain.mcp namespace.</t>
  </si>
  <si>
    <t xml:space="preserve">agentic-ai:ch18 (30), agentic-ai:ch17 (14), agentic-ai:ch16 (12)</t>
  </si>
  <si>
    <t xml:space="preserve">server_name, langchain_mcp_adapters, toolcallinterceptor, math_server, list_roots, get_resources</t>
  </si>
  <si>
    <t xml:space="preserve">M-001</t>
  </si>
  <si>
    <t xml:space="preserve">Docs 2026-07-28 / Getting started</t>
  </si>
  <si>
    <t xml:space="preserve">What is the Model Context Protocol (MCP)?</t>
  </si>
  <si>
    <t xml:space="preserve">modelcontextprotocol.io/docs/2026-07-28/getting-started/intro</t>
  </si>
  <si>
    <t xml:space="preserve">agentic-ai:ch16 (4), agentic-ai:ch11 (3), agentic-ai:ch12 (3)</t>
  </si>
  <si>
    <t xml:space="preserve">heading: enable, heading: broad ecosystem support</t>
  </si>
  <si>
    <t xml:space="preserve">M-002</t>
  </si>
  <si>
    <t xml:space="preserve">Docs 2026-07-28 / Learn</t>
  </si>
  <si>
    <t xml:space="preserve">Architecture overview</t>
  </si>
  <si>
    <t xml:space="preserve">modelcontextprotocol.io/docs/2026-07-28/learn/architecture</t>
  </si>
  <si>
    <t xml:space="preserve">agentic-ai:ch16 (16), agentic-ai:ch17 (14), agentic-ai:ch12 (11)</t>
  </si>
  <si>
    <t xml:space="preserve">weather_current, calculator_arithmetic, heading: element execution, heading: discovery statelessnes, update_available_tools, tools_list_changed, supports_tools, set_server_ready, server_config, server_capabilities, register_mcp_server, register_available_tools</t>
  </si>
  <si>
    <t xml:space="preserve">M-003</t>
  </si>
  <si>
    <t xml:space="preserve">Understanding MCP servers</t>
  </si>
  <si>
    <t xml:space="preserve">modelcontextprotocol.io/docs/2026-07-28/learn/server-concepts</t>
  </si>
  <si>
    <t xml:space="preserve">agentic-ai:ch17 (9), agentic-ai:ch13 (8), agentic-ai:ch12 (6)</t>
  </si>
  <si>
    <t xml:space="preserve">sendemail, searchflights, createcalendarevent, checkweather, heading: streamlin workflow, heading: bring server together, heading: book travel, return_date, departure_date, bookhotel</t>
  </si>
  <si>
    <t xml:space="preserve">Add the missing concepts to MCP ch12</t>
  </si>
  <si>
    <t xml:space="preserve">M-004</t>
  </si>
  <si>
    <t xml:space="preserve">Understanding MCP clients</t>
  </si>
  <si>
    <t xml:space="preserve">modelcontextprotocol.io/docs/2026-07-28/learn/client-concepts</t>
  </si>
  <si>
    <t xml:space="preserve">agentic-ai:ch17 (9), agentic-ai:ch13 (5), agentic-ai:ch18 (3)</t>
  </si>
  <si>
    <t xml:space="preserve">heading: overview, heading: plann travel workspace, heading: design philosophy, heading: approval book holiday, heading: analysi flight, findbestflight, toolchoice</t>
  </si>
  <si>
    <t xml:space="preserve">M-005</t>
  </si>
  <si>
    <t xml:space="preserve">modelcontextprotocol.io/docs/2026-07-28/learn/versioning</t>
  </si>
  <si>
    <t xml:space="preserve">agentic-ai:ch17 (4), agentic-ai:ch12 (2), agentic-ai:ch13 (2)</t>
  </si>
  <si>
    <t xml:space="preserve">M-006</t>
  </si>
  <si>
    <t xml:space="preserve">Docs 2026-07-28 / Develop</t>
  </si>
  <si>
    <t xml:space="preserve">Connect to local MCP servers</t>
  </si>
  <si>
    <t xml:space="preserve">modelcontextprotocol.io/docs/2026-07-28/develop/connect-local-servers</t>
  </si>
  <si>
    <t xml:space="preserve">Connect to local MCP servers - Learn how to extend Claude Desktop with local MCP servers to enable file system access and other powerful integrations</t>
  </si>
  <si>
    <t xml:space="preserve">Headings and openings only</t>
  </si>
  <si>
    <t xml:space="preserve">agentic-ai:ch13 (6), agentic-ai:ch15 (6), agentic-ai:ch18 (6)</t>
  </si>
  <si>
    <t xml:space="preserve">appdata, heading: prerequisit, heading: troubleshoot, servername, brave_api_key</t>
  </si>
  <si>
    <t xml:space="preserve">M-007</t>
  </si>
  <si>
    <t xml:space="preserve">Connect to remote MCP Servers</t>
  </si>
  <si>
    <t xml:space="preserve">modelcontextprotocol.io/docs/2026-07-28/develop/connect-remote-servers</t>
  </si>
  <si>
    <t xml:space="preserve">Connect to remote MCP Servers - Learn how to connect Claude to remote MCP servers and extend its capabilities with internet-hosted tools and data sources</t>
  </si>
  <si>
    <t xml:space="preserve">agentic-ai:ch16 (5), agentic-ai:ch13 (4), agentic-ai:ch15 (4)</t>
  </si>
  <si>
    <t xml:space="preserve">M-008</t>
  </si>
  <si>
    <t xml:space="preserve">Build with Agent Skills</t>
  </si>
  <si>
    <t xml:space="preserve">modelcontextprotocol.io/docs/2026-07-28/develop/build-with-agent-skills</t>
  </si>
  <si>
    <t xml:space="preserve">Build with Agent Skills - Use agent skills to guide AI coding assistants through MCP server design and implementation</t>
  </si>
  <si>
    <t xml:space="preserve">M-009</t>
  </si>
  <si>
    <t xml:space="preserve">Build an MCP server</t>
  </si>
  <si>
    <t xml:space="preserve">modelcontextprotocol.io/docs/2026-07-28/develop/build-server</t>
  </si>
  <si>
    <t xml:space="preserve">Build an MCP server - Get started building your own server to use in Claude for Desktop and other clients.</t>
  </si>
  <si>
    <t xml:space="preserve">agentic-ai:ch15 (18), agentic-ai:ch16 (18), agentic-ai:ch18 (17)</t>
  </si>
  <si>
    <t xml:space="preserve">heading: knowledge prerequisite, heading: execution implement, heading: function helper weather, heading: constant import packag sett, heading: constant import packag, get_forecast, get_alerts, user_agent, nws_api_base, make_nws_request, format_alert, createserver</t>
  </si>
  <si>
    <t xml:space="preserve">M-010</t>
  </si>
  <si>
    <t xml:space="preserve">Build an MCP client</t>
  </si>
  <si>
    <t xml:space="preserve">modelcontextprotocol.io/docs/2026-07-28/develop/build-client</t>
  </si>
  <si>
    <t xml:space="preserve">Build an MCP client - Get started building your own client that can integrate with all MCP servers.</t>
  </si>
  <si>
    <t xml:space="preserve">agentic-ai:ch16 (16), agentic-ai:ch17 (13), agentic-ai:ch11 (11)</t>
  </si>
  <si>
    <t xml:space="preserve">heading: environment sett, heading: response tim, heading: troubleshoot, is_error, heading: component explain, process_query, max_tool_turns, mcpclient, request_model, chat_loop, brave_api_key, tooldefinition</t>
  </si>
  <si>
    <t xml:space="preserve">M-011</t>
  </si>
  <si>
    <t xml:space="preserve">Client Best Practices</t>
  </si>
  <si>
    <t xml:space="preserve">modelcontextprotocol.io/docs/2026-07-28/develop/clients/client-best-practices</t>
  </si>
  <si>
    <t xml:space="preserve">Client Best Practices - Patterns for scaling MCP host applications across many servers and tools.</t>
  </si>
  <si>
    <t xml:space="preserve">agentic-ai:ch17 (12), agentic-ai:ch18 (4), agentic-ai:ch11 (3)</t>
  </si>
  <si>
    <t xml:space="preserve">expectedtype, heading: combin pattern, heading: choos sandbox, heading: choos discovery strategy, heading: architecture execution, heading: consideration security, ticketing_createissue, logentry</t>
  </si>
  <si>
    <t xml:space="preserve">M-012</t>
  </si>
  <si>
    <t xml:space="preserve">Docs 2026-07-28 / SDKs</t>
  </si>
  <si>
    <t xml:space="preserve">SDKs</t>
  </si>
  <si>
    <t xml:space="preserve">modelcontextprotocol.io/docs/2026-07-28/sdk</t>
  </si>
  <si>
    <t xml:space="preserve">SDKs - Official SDKs for building with Model Context Protocol</t>
  </si>
  <si>
    <t xml:space="preserve">agentic-ai:ch17 (3), agentic-ai:ch15 (2), agentic-ai:ch16 (2)</t>
  </si>
  <si>
    <t xml:space="preserve">M-013</t>
  </si>
  <si>
    <t xml:space="preserve">Docs 2026-07-28 / Security tutorials</t>
  </si>
  <si>
    <t xml:space="preserve">Understanding Authorization in MCP</t>
  </si>
  <si>
    <t xml:space="preserve">modelcontextprotocol.io/docs/2026-07-28/tutorials/security/authorization</t>
  </si>
  <si>
    <t xml:space="preserve">Understanding Authorization in MCP - Learn how to implement secure authorization for MCP servers using OAuth 2.1 to protect sensitive resources and operations</t>
  </si>
  <si>
    <t xml:space="preserve">agentic-ai:ch16 (8), agentic-ai:ch17 (5), agentic-ai:ch14 (5)</t>
  </si>
  <si>
    <t xml:space="preserve">oauth_client_secret, oauth_client_id, mcp_server, token_verifier, protectedmcpserver, mcp_scope, introspectiontokenverifier, introspection_endpoint, auth_base_url, _validate_resource, heading: documentation relat standard, heading: avoid common pitfall</t>
  </si>
  <si>
    <t xml:space="preserve">Read and add to MCP book: new chapter "Security and authorization"</t>
  </si>
  <si>
    <t xml:space="preserve">M-014</t>
  </si>
  <si>
    <t xml:space="preserve">Security Best Practices</t>
  </si>
  <si>
    <t xml:space="preserve">modelcontextprotocol.io/docs/2026-07-28/tutorials/security/security_best_practices</t>
  </si>
  <si>
    <t xml:space="preserve">Security Best Practices - Security considerations, attack vectors, and best practices for MCP implementations</t>
  </si>
  <si>
    <t xml:space="preserve">agentic-ai:ch16 (11), agentic-ai:ch14 (5), agentic-ai:ch11 (4)</t>
  </si>
  <si>
    <t xml:space="preserve">heading: mitigation, heading: risks, redirect_uri, scopes_supported, heading: minimization scope, heading: impersonation localhost redirect, heading: handle hijack state, heading: forgery request server, heading: condition vulnerable, heading: compromise local server, heading: authorization oauth validation, heading: attack mitigation</t>
  </si>
  <si>
    <t xml:space="preserve">Add the missing concepts to MCP book: new chapter "Security and authorization"</t>
  </si>
  <si>
    <t xml:space="preserve">M-015</t>
  </si>
  <si>
    <t xml:space="preserve">Local Server Security</t>
  </si>
  <si>
    <t xml:space="preserve">modelcontextprotocol.io/docs/2026-07-28/tutorials/security/local-server-security</t>
  </si>
  <si>
    <t xml:space="preserve">Local Server Security - Practical defaults for running MCP servers safely on your own machine.</t>
  </si>
  <si>
    <t xml:space="preserve">agentic-ai:ch16 (7), agentic-ai:ch15 (4), agentic-ai:ch18 (4)</t>
  </si>
  <si>
    <t xml:space="preserve">heading: definition treat untrust, heading: control egres network, heading: address guide threat, sha256</t>
  </si>
  <si>
    <t xml:space="preserve">M-016</t>
  </si>
  <si>
    <t xml:space="preserve">Docs 2026-07-28 / Tools</t>
  </si>
  <si>
    <t xml:space="preserve">MCP Inspector (index)</t>
  </si>
  <si>
    <t xml:space="preserve">modelcontextprotocol.io/docs/2026-07-28/tools/inspector</t>
  </si>
  <si>
    <t xml:space="preserve">MCP Inspector - Interactive developer tooling for testing and debugging MCP servers, in the browser, on the command line, and in the terminal</t>
  </si>
  <si>
    <t xml:space="preserve">heading: inspect publish server, heading: client flags launcher, heading: quickstart, mcp_auto_open_enabled, get_weather</t>
  </si>
  <si>
    <t xml:space="preserve">Read and add to MCP book: new chapter "Inspector and debugging"</t>
  </si>
  <si>
    <t xml:space="preserve">M-017</t>
  </si>
  <si>
    <t xml:space="preserve">Inspector: Web client</t>
  </si>
  <si>
    <t xml:space="preserve">modelcontextprotocol.io/docs/2026-07-28/tools/inspector/web</t>
  </si>
  <si>
    <t xml:space="preserve">Web client - A tab-by-tab walkthrough of the graphical MCP Inspector</t>
  </si>
  <si>
    <t xml:space="preserve">agentic-ai:ch16 (8), agentic-ai:ch13 (7), agentic-ai:ch17 (7)</t>
  </si>
  <si>
    <t xml:space="preserve">heading: monitor sidebar, heading: console network protocol, heading: bind origin, autoopen, autoconnect, mcp_inspector_api_token, toolname, sessionstorage, serverurl, openapp, __inspector_api_token__, mcp_app_origin_port</t>
  </si>
  <si>
    <t xml:space="preserve">Add the missing concepts to MCP book: new chapter "Inspector and debugging"</t>
  </si>
  <si>
    <t xml:space="preserve">M-018</t>
  </si>
  <si>
    <t xml:space="preserve">Inspector: CLI client</t>
  </si>
  <si>
    <t xml:space="preserve">modelcontextprotocol.io/docs/2026-07-28/tools/inspector/cli</t>
  </si>
  <si>
    <t xml:space="preserve">CLI client - Scripting the MCP Inspector: methods, output formats, exit codes, and CI recipes</t>
  </si>
  <si>
    <t xml:space="preserve">agentic-ai:ch17 (7), agentic-ai:ch18 (6), agentic-ai:ch15 (4)</t>
  </si>
  <si>
    <t xml:space="preserve">auth_required, rate_limited, heading: smoke, heading: gates, heading: codes envelop error, heading: catalog edit, get_weather, tool_not_found, tool_is_error, store_unavailable, schema_unportable, retryafterms</t>
  </si>
  <si>
    <t xml:space="preserve">M-019</t>
  </si>
  <si>
    <t xml:space="preserve">Inspector: TUI client</t>
  </si>
  <si>
    <t xml:space="preserve">modelcontextprotocol.io/docs/2026-07-28/tools/inspector/tui</t>
  </si>
  <si>
    <t xml:space="preserve">TUI client - The terminal MCP Inspector: navigation, tabs, and keyboard reference</t>
  </si>
  <si>
    <t xml:space="preserve">agentic-ai:ch18 (2)</t>
  </si>
  <si>
    <t xml:space="preserve">heading: navigation, mcp_client_config_path, eaddrinuse, mcp_oauth_callback_url</t>
  </si>
  <si>
    <t xml:space="preserve">M-020</t>
  </si>
  <si>
    <t xml:space="preserve">Inspector: mcpdo connection client</t>
  </si>
  <si>
    <t xml:space="preserve">modelcontextprotocol.io/docs/2026-07-28/tools/inspector/mcpdo</t>
  </si>
  <si>
    <t xml:space="preserve">mcpdo connection client - Connect to an MCP server once, then run many commands against that named connection</t>
  </si>
  <si>
    <t xml:space="preserve">agentic-ai:ch17 (9), agentic-ai:ch16 (8), agentic-ai:ch18 (7)</t>
  </si>
  <si>
    <t xml:space="preserve">mcp_allow_default_connection, heading: daemon, heading: agent cod mcpdo, mcp_inspector_daemon_token, mcp_inspector_daemon_dir, heading: quickstart, pendingauthsignedin, elicitationpending, start_job, no_color, enterprisemanaged, mcp_catalog_path</t>
  </si>
  <si>
    <t xml:space="preserve">M-021</t>
  </si>
  <si>
    <t xml:space="preserve">Inspector: Configuration and flags</t>
  </si>
  <si>
    <t xml:space="preserve">modelcontextprotocol.io/docs/2026-07-28/tools/inspector/configuration</t>
  </si>
  <si>
    <t xml:space="preserve">Configuration and flags - Catalog vs. config files, which client owns which flag, and every environment variable</t>
  </si>
  <si>
    <t xml:space="preserve">agentic-ai:ch18 (6), agentic-ai:ch16 (3), agentic-ai:ch12 (2)</t>
  </si>
  <si>
    <t xml:space="preserve">mcp_storage_dir, mcp_inspector_secret_store, mcp_inspector_secret_key, mcp_catalog_path, protocolera, skillcatalogmaxskills, skillcatalogmaxbytes, mcp_inspector_secret_file, heading: separator, heading: secret store variabl, heading: launcher, heading: keychain mov</t>
  </si>
  <si>
    <t xml:space="preserve">M-022</t>
  </si>
  <si>
    <t xml:space="preserve">Inspector: Authorization</t>
  </si>
  <si>
    <t xml:space="preserve">modelcontextprotocol.io/docs/2026-07-28/tools/inspector/authorization</t>
  </si>
  <si>
    <t xml:space="preserve">Authorization - How the MCP Inspector performs OAuth, re-authorizes mid-session, and shares tokens between its clients</t>
  </si>
  <si>
    <t xml:space="preserve">agentic-ai:ch16 (4), agentic-ai:ch17 (3), agentic-ai:ch18 (3)</t>
  </si>
  <si>
    <t xml:space="preserve">deeplink, portforwardcmd, oauthstatepath, auth_required, storedserverurls, apitoken, mcp_inspector_oauth_state_path, eaddrinuse, mcp_oauth_callback_url, mcp_inspector_persist_tokens, autoconnect, mcp_storage_dir</t>
  </si>
  <si>
    <t xml:space="preserve">M-023</t>
  </si>
  <si>
    <t xml:space="preserve">Inspector: Protocol eras</t>
  </si>
  <si>
    <t xml:space="preserve">modelcontextprotocol.io/docs/2026-07-28/tools/inspector/protocol-eras</t>
  </si>
  <si>
    <t xml:space="preserve">Protocol eras - How the Inspector negotiates legacy vs. modern MCP, and how every feature is handled between protocol eras</t>
  </si>
  <si>
    <t xml:space="preserve">agentic-ai:ch17 (12), agentic-ai:ch16 (7), agentic-ai:ch12 (4)</t>
  </si>
  <si>
    <t xml:space="preserve">update_resource, heading: exclud header mirror tools, heading: error panel, protocolera, trigger_unsupported_version, trigger_missing_capability, trigger_method_not_found, trigger_invalid_params, trigger_header_mismatch, slow_task, mrtr_two_step, mrtr_sample</t>
  </si>
  <si>
    <t xml:space="preserve">M-024</t>
  </si>
  <si>
    <t xml:space="preserve">Inspector: Recipes</t>
  </si>
  <si>
    <t xml:space="preserve">modelcontextprotocol.io/docs/2026-07-28/tools/inspector/recipes</t>
  </si>
  <si>
    <t xml:space="preserve">Recipes - Practical guides for transports, importing configs, reviewing MCP Apps, Docker, network hosting, and persistent connections with mcpdo</t>
  </si>
  <si>
    <t xml:space="preserve">agentic-ai:ch16 (9), agentic-ai:ch11 (9), agentic-ai:ch18 (8)</t>
  </si>
  <si>
    <t xml:space="preserve">allowed_origins, dangerously_bind_all_interfaces, mcp_sandbox_port, mcp_inspector_secret_key_file, mcp_inspector_secret_key, heading: development workflow, heading: connection keep mcpdo, heading: check health modes, autoopen, mcp_sandbox_full_address, autoconnect, mcp_inspector_api_token</t>
  </si>
  <si>
    <t xml:space="preserve">M-025</t>
  </si>
  <si>
    <t xml:space="preserve">Inspector: Security</t>
  </si>
  <si>
    <t xml:space="preserve">modelcontextprotocol.io/docs/2026-07-28/tools/inspector/security</t>
  </si>
  <si>
    <t xml:space="preserve">Security - The Inspector's threat model in one place, covering the web backend, Docker, secret storage, stdio servers, and the mcpdo daemon</t>
  </si>
  <si>
    <t xml:space="preserve">agentic-ai:ch16 (11), agentic-ai:ch13 (8), agentic-ai:ch18 (8)</t>
  </si>
  <si>
    <t xml:space="preserve">mcp_inspector_secret_key_file, mcp_inspector_secret_key, tmpdir, heading: secret volume, heading: loopback publish, heading: connection daemon mcpdo, heading: automatic fallback plaintext, mcp_inspector_secret_store, mcp_inspector_daemon_token, mcp_inspector_daemon_dir, dangerously_omit_auth, dangerously_bind_all_interfaces</t>
  </si>
  <si>
    <t xml:space="preserve">M-026</t>
  </si>
  <si>
    <t xml:space="preserve">Debugging</t>
  </si>
  <si>
    <t xml:space="preserve">modelcontextprotocol.io/docs/2026-07-28/tools/debugging</t>
  </si>
  <si>
    <t xml:space="preserve">Debugging - A comprehensive guide to debugging Model Context Protocol (MCP) integrations</t>
  </si>
  <si>
    <t xml:space="preserve">agentic-ai:ch17 (13), agentic-ai:ch16 (9), agentic-ai:ch13 (7)</t>
  </si>
  <si>
    <t xml:space="preserve">developer_settings, heading: view, heading: logg strategy, heading: debugg overview tools, heading: cycle development, heading: chrome devtool, heading: consideration security, some_key, report_id, myapp_api_key, fetch_report, allowdevtools</t>
  </si>
  <si>
    <t xml:space="preserve">M-027</t>
  </si>
  <si>
    <t xml:space="preserve">Specification 2026-07-28</t>
  </si>
  <si>
    <t xml:space="preserve">Specification</t>
  </si>
  <si>
    <t xml:space="preserve">modelcontextprotocol.io/specification/2026-07-28/index</t>
  </si>
  <si>
    <t xml:space="preserve">agentic-ai:ch17 (5), agentic-ai:ch13 (3), agentic-ai:ch12 (3)</t>
  </si>
  <si>
    <t xml:space="preserve">heading: safety security trust, heading: additional utiliti, heading: principl, heading: overview</t>
  </si>
  <si>
    <t xml:space="preserve">M-028</t>
  </si>
  <si>
    <t xml:space="preserve">Key Changes</t>
  </si>
  <si>
    <t xml:space="preserve">modelcontextprotocol.io/specification/2026-07-28/changelog</t>
  </si>
  <si>
    <t xml:space="preserve">agentic-ai:ch17 (35), agentic-ai:ch16 (4), agentic-ai:ch11 (3)</t>
  </si>
  <si>
    <t xml:space="preserve">heading: governance proces updat, defaultnumbertype, cacheableresult, servercapabilities, headermismatcherror</t>
  </si>
  <si>
    <t xml:space="preserve">M-029</t>
  </si>
  <si>
    <t xml:space="preserve">Deprecated Features</t>
  </si>
  <si>
    <t xml:space="preserve">modelcontextprotocol.io/specification/2026-07-28/deprecated</t>
  </si>
  <si>
    <t xml:space="preserve">agentic-ai:ch17 (5), agentic-ai:ch16 (2), agentic-ai:ch18 (2)</t>
  </si>
  <si>
    <t xml:space="preserve">M-030</t>
  </si>
  <si>
    <t xml:space="preserve">Architecture</t>
  </si>
  <si>
    <t xml:space="preserve">modelcontextprotocol.io/specification/2026-07-28/architecture/index</t>
  </si>
  <si>
    <t xml:space="preserve">agentic-ai:ch17 (4), agentic-ai:ch12 (3), agentic-ai:ch13 (3)</t>
  </si>
  <si>
    <t xml:space="preserve">heading: design principl, heading: component</t>
  </si>
  <si>
    <t xml:space="preserve">M-031</t>
  </si>
  <si>
    <t xml:space="preserve">Basic: Overview</t>
  </si>
  <si>
    <t xml:space="preserve">modelcontextprotocol.io/specification/2026-07-28/basic/index</t>
  </si>
  <si>
    <t xml:space="preserve">Overview</t>
  </si>
  <si>
    <t xml:space="preserve">agentic-ai:ch17 (18), agentic-ai:ch12 (9), agentic-ai:ch11 (7)</t>
  </si>
  <si>
    <t xml:space="preserve">heading: usage, heading: statelessnes, heading: schema validation, heading: schema usage, heading: resolution, heading: icons, heading: dialect schema, heading: dialect draft explicit, heading: dialect, heading: composition keyword resource, requiredcapabilities, oneof</t>
  </si>
  <si>
    <t xml:space="preserve">M-032</t>
  </si>
  <si>
    <t xml:space="preserve">Basic: Versioning and Compatibility</t>
  </si>
  <si>
    <t xml:space="preserve">modelcontextprotocol.io/specification/2026-07-28/basic/versioning</t>
  </si>
  <si>
    <t xml:space="preserve">Versioning and Compatibility</t>
  </si>
  <si>
    <t xml:space="preserve">Read in part (compatibility matrix)</t>
  </si>
  <si>
    <t xml:space="preserve">agentic-ai:ch17 (4)</t>
  </si>
  <si>
    <t xml:space="preserve">heading: extension negotiation, heading: terminology</t>
  </si>
  <si>
    <t xml:space="preserve">M-033</t>
  </si>
  <si>
    <t xml:space="preserve">Patterns: Overview</t>
  </si>
  <si>
    <t xml:space="preserve">modelcontextprotocol.io/specification/2026-07-28/basic/patterns/index</t>
  </si>
  <si>
    <t xml:space="preserve">agentic-ai:ch17 (5), agentic-ai:ch16 (3), agentic-ai:ch12 (2)</t>
  </si>
  <si>
    <t xml:space="preserve">heading: notify subscribe</t>
  </si>
  <si>
    <t xml:space="preserve">M-034</t>
  </si>
  <si>
    <t xml:space="preserve">Patterns: Multi Round-Trip Requests</t>
  </si>
  <si>
    <t xml:space="preserve">modelcontextprotocol.io/specification/2026-07-28/basic/patterns/mrtr</t>
  </si>
  <si>
    <t xml:space="preserve">Multi Round-Trip Requests</t>
  </si>
  <si>
    <t xml:space="preserve">Read in part (to server requirements)</t>
  </si>
  <si>
    <t xml:space="preserve">agentic-ai:ch17 (18), agentic-ai:ch18 (6), agentic-ai:ch11 (5)</t>
  </si>
  <si>
    <t xml:space="preserve">capital_of_france, github_login, listrootsrequest, elicitrequest, createmessagerequest, heading: consideration security, listrootsresult, elicitresult, createmessageresult</t>
  </si>
  <si>
    <t xml:space="preserve">M-035</t>
  </si>
  <si>
    <t xml:space="preserve">Patterns: Subscriptions</t>
  </si>
  <si>
    <t xml:space="preserve">modelcontextprotocol.io/specification/2026-07-28/basic/patterns/subscriptions</t>
  </si>
  <si>
    <t xml:space="preserve">Subscriptions</t>
  </si>
  <si>
    <t xml:space="preserve">Read in part</t>
  </si>
  <si>
    <t xml:space="preserve">agentic-ai:ch17 (9), agentic-ai:ch16 (4), agentic-ai:ch12 (2)</t>
  </si>
  <si>
    <t xml:space="preserve">heading: concurrent multiple subscription, heading: closure graceful, heading: acknowledgment</t>
  </si>
  <si>
    <t xml:space="preserve">M-036</t>
  </si>
  <si>
    <t xml:space="preserve">Patterns: Cancellation</t>
  </si>
  <si>
    <t xml:space="preserve">modelcontextprotocol.io/specification/2026-07-28/basic/patterns/cancellation</t>
  </si>
  <si>
    <t xml:space="preserve">Cancellation</t>
  </si>
  <si>
    <t xml:space="preserve">agentic-ai:ch17 (5), agentic-ai:ch12 (4), agentic-ai:ch16 (3)</t>
  </si>
  <si>
    <t xml:space="preserve">heading: consideration tim, heading: behavior requirement</t>
  </si>
  <si>
    <t xml:space="preserve">M-037</t>
  </si>
  <si>
    <t xml:space="preserve">Patterns: Progress</t>
  </si>
  <si>
    <t xml:space="preserve">modelcontextprotocol.io/specification/2026-07-28/basic/patterns/progress</t>
  </si>
  <si>
    <t xml:space="preserve">Progress</t>
  </si>
  <si>
    <t xml:space="preserve">agentic-ai:ch17 (3), agentic-ai:ch12 (2)</t>
  </si>
  <si>
    <t xml:space="preserve">heading: behavior requirement, some_method</t>
  </si>
  <si>
    <t xml:space="preserve">M-038</t>
  </si>
  <si>
    <t xml:space="preserve">Transports: Overview</t>
  </si>
  <si>
    <t xml:space="preserve">modelcontextprotocol.io/specification/2026-07-28/basic/transports/index</t>
  </si>
  <si>
    <t xml:space="preserve">agentic-ai:ch16 (4), agentic-ai:ch18 (4), agentic-ai:ch17 (4)</t>
  </si>
  <si>
    <t xml:space="preserve">M-039</t>
  </si>
  <si>
    <t xml:space="preserve">Transports: stdio</t>
  </si>
  <si>
    <t xml:space="preserve">modelcontextprotocol.io/specification/2026-07-28/basic/transports/stdio</t>
  </si>
  <si>
    <t xml:space="preserve">stdio</t>
  </si>
  <si>
    <t xml:space="preserve">Read in part (backward compatibility)</t>
  </si>
  <si>
    <t xml:space="preserve">agentic-ai:ch17 (9), agentic-ai:ch14 (5), agentic-ai:ch12 (4)</t>
  </si>
  <si>
    <t xml:space="preserve">terminateprocess, subscriptionslistenrequest</t>
  </si>
  <si>
    <t xml:space="preserve">M-040</t>
  </si>
  <si>
    <t xml:space="preserve">Transports: Streamable HTTP</t>
  </si>
  <si>
    <t xml:space="preserve">modelcontextprotocol.io/specification/2026-07-28/basic/transports/streamable-http</t>
  </si>
  <si>
    <t xml:space="preserve">Streamable HTTP</t>
  </si>
  <si>
    <t xml:space="preserve">Read in part (headings and header rules)</t>
  </si>
  <si>
    <t xml:space="preserve">agentic-ai:ch17 (20), agentic-ai:ch16 (13), agentic-ai:ch12 (9)</t>
  </si>
  <si>
    <t xml:space="preserve">heading: server validation, heading: sensitivity, west1, sgvsbg8sios4luevja, pt9iyxnlnjq, nline2, line1, ihbhzgrlzca, bgluztekbgluzti, bgl0zxjhbd89, oneof, execute_sql</t>
  </si>
  <si>
    <t xml:space="preserve">M-041</t>
  </si>
  <si>
    <t xml:space="preserve">Authorization</t>
  </si>
  <si>
    <t xml:space="preserve">modelcontextprotocol.io/specification/2026-07-28/basic/authorization/index</t>
  </si>
  <si>
    <t xml:space="preserve">agentic-ai:ch17 (10), agentic-ai:ch16 (8), agentic-ai:ch18 (4)</t>
  </si>
  <si>
    <t xml:space="preserve">scopes_supported, authorization_response_iss_parameter_supported, offline_access, error_description, heading: scope selection strategy, heading: compliance standard, heading: challenge handl scope, heading: canonical server, heading: authorization response validation, heading: acces token usage, heading: overview, heading: consideration security</t>
  </si>
  <si>
    <t xml:space="preserve">M-042</t>
  </si>
  <si>
    <t xml:space="preserve">Authorization Server Discovery</t>
  </si>
  <si>
    <t xml:space="preserve">modelcontextprotocol.io/specification/2026-07-28/basic/authorization/authorization-server-discovery</t>
  </si>
  <si>
    <t xml:space="preserve">agentic-ai:ch17 (2)</t>
  </si>
  <si>
    <t xml:space="preserve">authorization_servers, heading: diagram sequence, heading: authorization location server, tenant1, resource_metadata</t>
  </si>
  <si>
    <t xml:space="preserve">M-043</t>
  </si>
  <si>
    <t xml:space="preserve">Client Registration</t>
  </si>
  <si>
    <t xml:space="preserve">modelcontextprotocol.io/specification/2026-07-28/basic/authorization/client-registration</t>
  </si>
  <si>
    <t xml:space="preserve">agentic-ai:ch17 (6), agentic-ai:ch16 (3), agentic-ai:ch18 (3)</t>
  </si>
  <si>
    <t xml:space="preserve">client_id_metadata_document_supported, heading: authorization bind server, heading: application constraint redirect, redirect_uris, client_name, token_endpoint_auth_method, private_key_jwt, logo_uri, client_uri, response_types, registration_endpoint, authorization_code</t>
  </si>
  <si>
    <t xml:space="preserve">M-044</t>
  </si>
  <si>
    <t xml:space="preserve">Authorization Security Considerations</t>
  </si>
  <si>
    <t xml:space="preserve">modelcontextprotocol.io/specification/2026-07-28/basic/authorization/security-considerations</t>
  </si>
  <si>
    <t xml:space="preserve">agentic-ai:ch16 (3)</t>
  </si>
  <si>
    <t xml:space="preserve">code_challenge_methods_supported, heading: theft token, heading: redirection, heading: localhost redirect risks, heading: authorization protection, heading: audience bind token validation, heading: acces privilege restriction token, heading: abuse authorization protection server, heading: polici trust, s256</t>
  </si>
  <si>
    <t xml:space="preserve">M-045</t>
  </si>
  <si>
    <t xml:space="preserve">Client: Roots</t>
  </si>
  <si>
    <t xml:space="preserve">modelcontextprotocol.io/specification/2026-07-28/client/roots</t>
  </si>
  <si>
    <t xml:space="preserve">Roots</t>
  </si>
  <si>
    <t xml:space="preserve">agentic-ai:ch17 (10), agentic-ai:ch11 (6), agentic-ai:ch13 (5)</t>
  </si>
  <si>
    <t xml:space="preserve">heading: multiple repositori, heading: consideration security</t>
  </si>
  <si>
    <t xml:space="preserve">M-046</t>
  </si>
  <si>
    <t xml:space="preserve">Client: Sampling</t>
  </si>
  <si>
    <t xml:space="preserve">modelcontextprotocol.io/specification/2026-07-28/client/sampling</t>
  </si>
  <si>
    <t xml:space="preserve">Sampling</t>
  </si>
  <si>
    <t xml:space="preserve">agentic-ai:ch17 (14), agentic-ai:ch16 (10), agentic-ai:ch18 (9)</t>
  </si>
  <si>
    <t xml:space="preserve">tooluseid, toolusecontent, toolresultcontent, call_abc123, toolchoice, stopsequences, maxtokens, call_def456, call_123, tooluse, stopreason, heading: parallel</t>
  </si>
  <si>
    <t xml:space="preserve">Add the missing concepts to MCP ch17</t>
  </si>
  <si>
    <t xml:space="preserve">M-047</t>
  </si>
  <si>
    <t xml:space="preserve">Client: Elicitation</t>
  </si>
  <si>
    <t xml:space="preserve">modelcontextprotocol.io/specification/2026-07-28/client/elicitation</t>
  </si>
  <si>
    <t xml:space="preserve">Elicitation</t>
  </si>
  <si>
    <t xml:space="preserve">agentic-ai:ch17 (15), agentic-ai:ch16 (12), agentic-ai:ch11 (9)</t>
  </si>
  <si>
    <t xml:space="preserve">requestedschema, ff0000, heading: statefulnes, heading: phish, heading: elicitation flows oauth, heading: distinction understand, heading: consideration implementation, heading: consideration security, set_api_key</t>
  </si>
  <si>
    <t xml:space="preserve">M-048</t>
  </si>
  <si>
    <t xml:space="preserve">Server: Overview</t>
  </si>
  <si>
    <t xml:space="preserve">modelcontextprotocol.io/specification/2026-07-28/server/index</t>
  </si>
  <si>
    <t xml:space="preserve">too little text</t>
  </si>
  <si>
    <t xml:space="preserve">M-049</t>
  </si>
  <si>
    <t xml:space="preserve">Server: Discovery</t>
  </si>
  <si>
    <t xml:space="preserve">modelcontextprotocol.io/specification/2026-07-28/server/discover</t>
  </si>
  <si>
    <t xml:space="preserve">Discovery</t>
  </si>
  <si>
    <t xml:space="preserve">agentic-ai:ch17 (6), agentic-ai:ch12 (2), agentic-ai:ch13 (2)</t>
  </si>
  <si>
    <t xml:space="preserve">M-050</t>
  </si>
  <si>
    <t xml:space="preserve">Server: Prompts</t>
  </si>
  <si>
    <t xml:space="preserve">modelcontextprotocol.io/specification/2026-07-28/server/prompts</t>
  </si>
  <si>
    <t xml:space="preserve">Prompts</t>
  </si>
  <si>
    <t xml:space="preserve">agentic-ai:ch17 (19), agentic-ai:ch12 (10), agentic-ai:ch16 (10)</t>
  </si>
  <si>
    <t xml:space="preserve">code_review, heading: promptmessage, heading: links resource, heading: embedd resourc, heading: consideration implementation, resource_link</t>
  </si>
  <si>
    <t xml:space="preserve">M-051</t>
  </si>
  <si>
    <t xml:space="preserve">Server: Resources</t>
  </si>
  <si>
    <t xml:space="preserve">modelcontextprotocol.io/specification/2026-07-28/server/resources</t>
  </si>
  <si>
    <t xml:space="preserve">Resources</t>
  </si>
  <si>
    <t xml:space="preserve">agentic-ai:ch17 (21), agentic-ai:ch12 (13), agentic-ai:ch11 (12)</t>
  </si>
  <si>
    <t xml:space="preserve">heading: custom schem, heading: common schem, heading: binary content, heading: consideration security, lastmodified, mimetype</t>
  </si>
  <si>
    <t xml:space="preserve">M-052</t>
  </si>
  <si>
    <t xml:space="preserve">Server: Tools</t>
  </si>
  <si>
    <t xml:space="preserve">modelcontextprotocol.io/specification/2026-07-28/server/tools</t>
  </si>
  <si>
    <t xml:space="preserve">agentic-ai:ch17 (17), agentic-ai:ch16 (16), agentic-ai:ch12 (14)</t>
  </si>
  <si>
    <t xml:space="preserve">calculate_sum, get_weather, west1, github_login, heading: links resource, heading: embedd resourc, heading: consideration security, invalid_tool_name, getuser, get_weather_data, get_current_time, data_export_v2</t>
  </si>
  <si>
    <t xml:space="preserve">M-053</t>
  </si>
  <si>
    <t xml:space="preserve">Server utilities: Caching</t>
  </si>
  <si>
    <t xml:space="preserve">modelcontextprotocol.io/specification/2026-07-28/server/utilities/caching</t>
  </si>
  <si>
    <t xml:space="preserve">Caching</t>
  </si>
  <si>
    <t xml:space="preserve">agentic-ai:ch17 (8), agentic-ai:ch12 (2)</t>
  </si>
  <si>
    <t xml:space="preserve">t_received, heading: interaction pagination, heading: calculation freshnes, heading: cache field scope, heading: cache choos scope, heading: cacheable model, heading: cacheable, heading: consideration security</t>
  </si>
  <si>
    <t xml:space="preserve">M-054</t>
  </si>
  <si>
    <t xml:space="preserve">Server utilities: Completion</t>
  </si>
  <si>
    <t xml:space="preserve">modelcontextprotocol.io/specification/2026-07-28/server/utilities/completion</t>
  </si>
  <si>
    <t xml:space="preserve">Completion</t>
  </si>
  <si>
    <t xml:space="preserve">agentic-ai:ch17 (10), agentic-ai:ch13 (6), agentic-ai:ch11 (5)</t>
  </si>
  <si>
    <t xml:space="preserve">code_review, heading: reference types, resourcetemplatereference, heading: completeresult, heading: completerequest, heading: consideration implementation, hasmore, promptreference</t>
  </si>
  <si>
    <t xml:space="preserve">M-055</t>
  </si>
  <si>
    <t xml:space="preserve">Server utilities: Logging</t>
  </si>
  <si>
    <t xml:space="preserve">modelcontextprotocol.io/specification/2026-07-28/server/utilities/logging</t>
  </si>
  <si>
    <t xml:space="preserve">Logging</t>
  </si>
  <si>
    <t xml:space="preserve">agentic-ai:ch17 (9), agentic-ai:ch11 (8), agentic-ai:ch12 (8)</t>
  </si>
  <si>
    <t xml:space="preserve">heading: consideration implementation</t>
  </si>
  <si>
    <t xml:space="preserve">M-056</t>
  </si>
  <si>
    <t xml:space="preserve">Server utilities: Pagination</t>
  </si>
  <si>
    <t xml:space="preserve">modelcontextprotocol.io/specification/2026-07-28/server/utilities/pagination</t>
  </si>
  <si>
    <t xml:space="preserve">Pagination</t>
  </si>
  <si>
    <t xml:space="preserve">agentic-ai:ch17 (7), agentic-ai:ch12 (3), agentic-ai:ch16 (3)</t>
  </si>
  <si>
    <t xml:space="preserve">heading: operation pagination support, nextcursor</t>
  </si>
  <si>
    <t xml:space="preserve">M-057</t>
  </si>
  <si>
    <t xml:space="preserve">Schema Reference</t>
  </si>
  <si>
    <t xml:space="preserve">modelcontextprotocol.io/specification/2026-07-28/schema</t>
  </si>
  <si>
    <t xml:space="preserve">agentic-ai:ch17 (6), agentic-ai:ch18 (6), agentic-ai:ch12 (5)</t>
  </si>
  <si>
    <t xml:space="preserve">heading: untitledsingleselectenumschema, heading: untitledmultiselectenumschema, heading: toolusecontent, heading: toolresultcontent, heading: toollistchangednotification, heading: toolchoice, heading: titledsingleselectenumschema, heading: titledmultiselectenumschema, heading: textresourcecontent, heading: subscriptionslistenresultresponse, heading: subscriptionslistenresultmetaobject, heading: subscriptionslistenresult</t>
  </si>
  <si>
    <t xml:space="preserve">M-058</t>
  </si>
  <si>
    <t xml:space="preserve">Extensions (unversioned)</t>
  </si>
  <si>
    <t xml:space="preserve">Extensions Overview</t>
  </si>
  <si>
    <t xml:space="preserve">modelcontextprotocol.io/extensions/overview</t>
  </si>
  <si>
    <t xml:space="preserve">Extensions Overview - Optional extensions to the Model Context Protocol</t>
  </si>
  <si>
    <t xml:space="preserve">agentic-ai:ch17 (10), agentic-ai:ch12 (5), agentic-ai:ch13 (4)</t>
  </si>
  <si>
    <t xml:space="preserve">heading: promotion, heading: ground rules, heading: extension official repositori, heading: experimental extension, heading: evolution, heading: degradation graceful, heading: cards server, get_weather</t>
  </si>
  <si>
    <t xml:space="preserve">M-059</t>
  </si>
  <si>
    <t xml:space="preserve">Extension Support Matrix</t>
  </si>
  <si>
    <t xml:space="preserve">modelcontextprotocol.io/extensions/client-matrix</t>
  </si>
  <si>
    <t xml:space="preserve">Extension Support Matrix - Which MCP clients implement which official extensions</t>
  </si>
  <si>
    <t xml:space="preserve">agentic-ai:ch17 (3)</t>
  </si>
  <si>
    <t xml:space="preserve">heading: extension overview</t>
  </si>
  <si>
    <t xml:space="preserve">M-060</t>
  </si>
  <si>
    <t xml:space="preserve">MCP Apps</t>
  </si>
  <si>
    <t xml:space="preserve">modelcontextprotocol.io/extensions/apps/overview</t>
  </si>
  <si>
    <t xml:space="preserve">MCP Apps - Interactive UI applications that render inside MCP hosts like Claude Desktop</t>
  </si>
  <si>
    <t xml:space="preserve">agentic-ai:ch16 (4), agentic-ai:ch17 (4), agentic-ai:ch11 (3)</t>
  </si>
  <si>
    <t xml:space="preserve">sendopenlink, resourceuri</t>
  </si>
  <si>
    <t xml:space="preserve">M-061</t>
  </si>
  <si>
    <t xml:space="preserve">Build an MCP App</t>
  </si>
  <si>
    <t xml:space="preserve">modelcontextprotocol.io/extensions/apps/build</t>
  </si>
  <si>
    <t xml:space="preserve">Build an MCP App - Getting started guide for building interactive UI applications with MCP Apps</t>
  </si>
  <si>
    <t xml:space="preserve">agentic-ai:ch17 (10), agentic-ai:ch14 (10), agentic-ai:ch18 (8)</t>
  </si>
  <si>
    <t xml:space="preserve">userprofile, resourceuri, es2022, heading: prerequisit, registerapptool, registerappresource, callservertool</t>
  </si>
  <si>
    <t xml:space="preserve">M-062</t>
  </si>
  <si>
    <t xml:space="preserve">Authorization Extensions</t>
  </si>
  <si>
    <t xml:space="preserve">modelcontextprotocol.io/extensions/auth/overview</t>
  </si>
  <si>
    <t xml:space="preserve">Authorization Extensions - Supplementary authorization mechanisms for the Model Context Protocol</t>
  </si>
  <si>
    <t xml:space="preserve">agentic-ai:ch17 (5), agentic-ai:ch11 (2), agentic-ai:ch12 (2)</t>
  </si>
  <si>
    <t xml:space="preserve">heading: choos extension right</t>
  </si>
  <si>
    <t xml:space="preserve">M-063</t>
  </si>
  <si>
    <t xml:space="preserve">OAuth Client Credentials</t>
  </si>
  <si>
    <t xml:space="preserve">modelcontextprotocol.io/extensions/auth/oauth-client-credentials</t>
  </si>
  <si>
    <t xml:space="preserve">OAuth Client Credentials - Machine-to-machine authentication for MCP using the OAuth 2.0 client credentials flow</t>
  </si>
  <si>
    <t xml:space="preserve">agentic-ai:ch16 (6), agentic-ai:ch18 (5), agentic-ai:ch11 (5)</t>
  </si>
  <si>
    <t xml:space="preserve">streamable_http_client, streamable_http, set_tokens, set_client_info, oauthtoken, oauthclientinformationfull, inmemorytokenstorage, http_client, get_tokens, get_client_info, client_info, heading: assertion bearer recommend</t>
  </si>
  <si>
    <t xml:space="preserve">Read and add to MCP: optional chapter</t>
  </si>
  <si>
    <t xml:space="preserve">M-064</t>
  </si>
  <si>
    <t xml:space="preserve">Enterprise-Managed Authorization</t>
  </si>
  <si>
    <t xml:space="preserve">modelcontextprotocol.io/extensions/auth/enterprise-managed-authorization</t>
  </si>
  <si>
    <t xml:space="preserve">Enterprise-Managed Authorization - Centralized access control for MCP in enterprise environments via identity providers</t>
  </si>
  <si>
    <t xml:space="preserve">agentic-ai:ch12 (5), agentic-ai:ch17 (5), agentic-ai:ch16 (4)</t>
  </si>
  <si>
    <t xml:space="preserve">heading: relat resourc, identity_assertion_authz_grant, enterprisemanagedauthorization</t>
  </si>
  <si>
    <t xml:space="preserve">M-065</t>
  </si>
  <si>
    <t xml:space="preserve">Tasks</t>
  </si>
  <si>
    <t xml:space="preserve">modelcontextprotocol.io/extensions/tasks/overview</t>
  </si>
  <si>
    <t xml:space="preserve">Tasks - Asynchronous task execution for long-running MCP operations</t>
  </si>
  <si>
    <t xml:space="preserve">agentic-ai:ch17 (13), agentic-ai:ch12 (8), agentic-ai:ch13 (6)</t>
  </si>
  <si>
    <t xml:space="preserve">taskid, createtaskresult, pollintervalms</t>
  </si>
  <si>
    <t xml:space="preserve">M-066</t>
  </si>
  <si>
    <t xml:space="preserve">modelcontextprotocol.io/extensions/skills/overview</t>
  </si>
  <si>
    <t xml:space="preserve">Skills - Discover and read Agent Skills from MCP servers</t>
  </si>
  <si>
    <t xml:space="preserve">agentic-ai:ch17 (12), agentic-ai:ch16 (9), agentic-ai:ch12 (8)</t>
  </si>
  <si>
    <t xml:space="preserve">directoryread, heading: integrity verification, heading: gett skill, nextcursor, heading: consideration security, mimetype</t>
  </si>
  <si>
    <t xml:space="preserve">M-067</t>
  </si>
  <si>
    <t xml:space="preserve">Community (unversioned)</t>
  </si>
  <si>
    <t xml:space="preserve">Contributing to MCP</t>
  </si>
  <si>
    <t xml:space="preserve">modelcontextprotocol.io/community/contributing</t>
  </si>
  <si>
    <t xml:space="preserve">Contributing to MCP - How to contribute to the Model Context Protocol project</t>
  </si>
  <si>
    <t xml:space="preserve">agentic-ai:ch17 (14), agentic-ai:ch16 (8), agentic-ai:ch18 (7)</t>
  </si>
  <si>
    <t xml:space="preserve">heading: contribution, heading: repositori, username, heading: sitt unnotic weeks, heading: repository structure, heading: license, heading: find sponsor, heading: contribution types, heading: conduct, heading: before contribut, heading: sponsor, heading: prerequisit</t>
  </si>
  <si>
    <t xml:space="preserve">Add the missing concepts to Not planned</t>
  </si>
  <si>
    <t xml:space="preserve">M-068</t>
  </si>
  <si>
    <t xml:space="preserve">Contributor Communication</t>
  </si>
  <si>
    <t xml:space="preserve">modelcontextprotocol.io/community/communication</t>
  </si>
  <si>
    <t xml:space="preserve">Contributor Communication - Communication strategy and framework for the Model Context Protocol community</t>
  </si>
  <si>
    <t xml:space="preserve">agentic-ai:ch17 (4), agentic-ai:ch16 (3)</t>
  </si>
  <si>
    <t xml:space="preserve">heading: discussion github, heading: discord, heading: decision record, heading: channel communication</t>
  </si>
  <si>
    <t xml:space="preserve">M-069</t>
  </si>
  <si>
    <t xml:space="preserve">Working and Interest Groups</t>
  </si>
  <si>
    <t xml:space="preserve">modelcontextprotocol.io/community/working-interest-groups</t>
  </si>
  <si>
    <t xml:space="preserve">Working and Interest Groups - Governance rules for the two forms of collaborative groups within the Model Context Protocol community — Working Groups and Interest Groups.</t>
  </si>
  <si>
    <t xml:space="preserve">agentic-ai:ch17 (8), agentic-ai:ch18 (6), agentic-ai:ch11 (6)</t>
  </si>
  <si>
    <t xml:space="preserve">heading: multiple person, heading: level participation, heading: governance, heading: decision mak proces, heading: contribut involv, heading: concrete discussion leads solution, heading: charter, heading: amendment charter, heading: channel communication, heading: leadership</t>
  </si>
  <si>
    <t xml:space="preserve">M-070</t>
  </si>
  <si>
    <t xml:space="preserve">Group Charter Template</t>
  </si>
  <si>
    <t xml:space="preserve">modelcontextprotocol.io/community/charter-template</t>
  </si>
  <si>
    <t xml:space="preserve">Group Charter Template - Template for MCP Working Group and Interest Group charters.</t>
  </si>
  <si>
    <t xml:space="preserve">heading: mission statement</t>
  </si>
  <si>
    <t xml:space="preserve">Decide whether to cover at all</t>
  </si>
  <si>
    <t xml:space="preserve">M-071</t>
  </si>
  <si>
    <t xml:space="preserve">Design Principles</t>
  </si>
  <si>
    <t xml:space="preserve">modelcontextprotocol.io/community/design-principles</t>
  </si>
  <si>
    <t xml:space="preserve">Design Principles - The core design principles that guide the development of the Model Context Protocol.</t>
  </si>
  <si>
    <t xml:space="preserve">heading: stability velocity, heading: pragmatism purity, heading: interoperability optimization, heading: innovation standardization, heading: deliberation demonstration, heading: composability specificity, heading: choice convergence, heading: capability compensation</t>
  </si>
  <si>
    <t xml:space="preserve">M-072</t>
  </si>
  <si>
    <t xml:space="preserve">SEP Guidelines</t>
  </si>
  <si>
    <t xml:space="preserve">modelcontextprotocol.io/community/sep-guidelines</t>
  </si>
  <si>
    <t xml:space="preserve">SEP Guidelines - Specification Enhancement Proposal (SEP) guidelines for proposing changes to the Model Context Protocol</t>
  </si>
  <si>
    <t xml:space="preserve">agentic-ai:ch18 (8), agentic-ai:ch11 (6), agentic-ai:ch17 (6)</t>
  </si>
  <si>
    <t xml:space="preserve">heading: resolution review, heading: rejection, heading: rationale, heading: prototype requirement, heading: preamble, heading: ownership transferr, heading: motivation, heading: implication security, heading: copyright, heading: conformance requirement, heading: sponsor, nnnn</t>
  </si>
  <si>
    <t xml:space="preserve">M-073</t>
  </si>
  <si>
    <t xml:space="preserve">Governance and Stewardship</t>
  </si>
  <si>
    <t xml:space="preserve">modelcontextprotocol.io/community/governance</t>
  </si>
  <si>
    <t xml:space="preserve">Governance and Stewardship - Learn about the Model Context Protocol's governance structure and how to participate in the community</t>
  </si>
  <si>
    <t xml:space="preserve">agentic-ai:ch17 (7), agentic-ai:ch16 (3), agentic-ai:ch18 (3)</t>
  </si>
  <si>
    <t xml:space="preserve">heading: maintenance responsibiliti, heading: governance technical, heading: general polici project, heading: enhancement proposal specification, heading: emeritu, heading: channel communication</t>
  </si>
  <si>
    <t xml:space="preserve">M-074</t>
  </si>
  <si>
    <t xml:space="preserve">Contributor Ladder</t>
  </si>
  <si>
    <t xml:space="preserve">modelcontextprotocol.io/community/contributor-ladder</t>
  </si>
  <si>
    <t xml:space="preserve">Contributor Ladder - Roles, responsibilities, and advancement criteria for MCP contributors, from first contribution to Core Maintainer</t>
  </si>
  <si>
    <t xml:space="preserve">heading: succession, heading: recognition visibility, heading: nomination recognition, heading: guid principl, heading: group interest leadership, heading: glance roles, heading: escalation matrix, heading: emeritu statu stepp, heading: delegation, heading: decision escalation mak, heading: contributor, heading: contribution pathway</t>
  </si>
  <si>
    <t xml:space="preserve">M-075</t>
  </si>
  <si>
    <t xml:space="preserve">Feature Lifecycle and Deprecation Policy</t>
  </si>
  <si>
    <t xml:space="preserve">modelcontextprotocol.io/community/feature-lifecycle</t>
  </si>
  <si>
    <t xml:space="preserve">Feature Lifecycle and Deprecation Policy - How individual MCP specification features move through Active, Deprecated, and Removed states, and the timeline implementers can plan against.</t>
  </si>
  <si>
    <t xml:space="preserve">agentic-ai:ch16 (5), agentic-ai:ch17 (4), agentic-ai:ch18 (2)</t>
  </si>
  <si>
    <t xml:space="preserve">heading: obligation, heading: expedit removal, emitwarning, deprecationwarning</t>
  </si>
  <si>
    <t xml:space="preserve">M-076</t>
  </si>
  <si>
    <t xml:space="preserve">SDK Tiering System</t>
  </si>
  <si>
    <t xml:space="preserve">modelcontextprotocol.io/community/sdk-tiers</t>
  </si>
  <si>
    <t xml:space="preserve">SDK Tiering System - Feature completeness, protocol support, and maintenance commitment levels for Model Context Protocol SDKs</t>
  </si>
  <si>
    <t xml:space="preserve">heading: relegation, heading: issue label triage, heading: conformance test, heading: advancement, heading: actionable priority, heading: overview</t>
  </si>
  <si>
    <t xml:space="preserve">M-077</t>
  </si>
  <si>
    <t xml:space="preserve">Security Policy</t>
  </si>
  <si>
    <t xml:space="preserve">modelcontextprotocol.io/community/security</t>
  </si>
  <si>
    <t xml:space="preserve">Security Policy - How to report security vulnerabilities in the Model Context Protocol specification and SDKs, what is in and out of scope, and how SDK maintainers coordinate disclosure.</t>
  </si>
  <si>
    <t xml:space="preserve">agentic-ai:ch16 (2)</t>
  </si>
  <si>
    <t xml:space="preserve">heading: report vulnerability, heading: group interest security, heading: coordination cross disclosure</t>
  </si>
  <si>
    <t xml:space="preserve">M-078</t>
  </si>
  <si>
    <t xml:space="preserve">Antitrust Policy</t>
  </si>
  <si>
    <t xml:space="preserve">modelcontextprotocol.io/community/antitrust</t>
  </si>
  <si>
    <t xml:space="preserve">Antitrust Policy - MCP Project Antitrust Policy for participants and contributors</t>
  </si>
  <si>
    <t xml:space="preserve">heading: requirement sett standard, heading: participation, heading: contact information, heading: conduct meeting</t>
  </si>
  <si>
    <t xml:space="preserve">M-079</t>
  </si>
  <si>
    <t xml:space="preserve">Working group: File Uploads</t>
  </si>
  <si>
    <t xml:space="preserve">modelcontextprotocol.io/community/working-groups/file-uploads</t>
  </si>
  <si>
    <t xml:space="preserve">File Uploads Charter - Charter for the MCP File Uploads Working Group.</t>
  </si>
  <si>
    <t xml:space="preserve">agentic-ai:ch16 (3), agentic-ai:ch17 (2)</t>
  </si>
  <si>
    <t xml:space="preserve">heading: active items, fileinputdescriptor, heading: criteria succes, heading: authority decision right, heading: deliverabl metric succes, blobresourcecontents, heading: membership, heading: group relat, heading: mission statement, heading: leadership</t>
  </si>
  <si>
    <t xml:space="preserve">M-080</t>
  </si>
  <si>
    <t xml:space="preserve">Working group: Filesystems</t>
  </si>
  <si>
    <t xml:space="preserve">modelcontextprotocol.io/community/working-groups/filesystems</t>
  </si>
  <si>
    <t xml:space="preserve">Filesystems Charter - Charter for the MCP Filesystems Working Group.</t>
  </si>
  <si>
    <t xml:space="preserve">lastmodified, heading: active items, heading: criteria succes, heading: authority decision right, heading: deliverabl metric succes, heading: membership, heading: group relat, heading: mission statement, heading: leadership</t>
  </si>
  <si>
    <t xml:space="preserve">M-081</t>
  </si>
  <si>
    <t xml:space="preserve">Working group: Governance</t>
  </si>
  <si>
    <t xml:space="preserve">modelcontextprotocol.io/community/working-groups/governance</t>
  </si>
  <si>
    <t xml:space="preserve">Governance Working Group Charter - Charter for the MCP Governance Working Group.</t>
  </si>
  <si>
    <t xml:space="preserve">heading: selection succession, heading: charter updat, heading: active items, heading: criteria succes, heading: authority decision right, heading: deliverabl metric succes, heading: membership, heading: group relat, heading: mission statement, heading: leadership</t>
  </si>
  <si>
    <t xml:space="preserve">M-082</t>
  </si>
  <si>
    <t xml:space="preserve">Working group: Infrastructure</t>
  </si>
  <si>
    <t xml:space="preserve">modelcontextprotocol.io/community/working-groups/infrastructure</t>
  </si>
  <si>
    <t xml:space="preserve">Infrastructure Charter - Charter for the MCP Infrastructure Working Group.</t>
  </si>
  <si>
    <t xml:space="preserve">heading: active items, heading: criteria succes, heading: authority decision right, heading: deliverabl metric succes, heading: membership, heading: group relat, heading: mission statement, heading: leadership</t>
  </si>
  <si>
    <t xml:space="preserve">M-083</t>
  </si>
  <si>
    <t xml:space="preserve">Working group: Inspector V2</t>
  </si>
  <si>
    <t xml:space="preserve">modelcontextprotocol.io/community/working-groups/inspector-v2</t>
  </si>
  <si>
    <t xml:space="preserve">Inspector V2 Working Group Charter - Charter for the Inspector V2 Working Group, a Working Group of the Model Context Protocol community.</t>
  </si>
  <si>
    <t xml:space="preserve">M-084</t>
  </si>
  <si>
    <t xml:space="preserve">Working group: Interceptors</t>
  </si>
  <si>
    <t xml:space="preserve">modelcontextprotocol.io/community/working-groups/interceptors</t>
  </si>
  <si>
    <t xml:space="preserve">Interceptors Charter - Charter for the MCP Interceptors Working Group.</t>
  </si>
  <si>
    <t xml:space="preserve">agentic-ai:ch16 (4), agentic-ai:ch17 (3), agentic-ai:ch11 (2)</t>
  </si>
  <si>
    <t xml:space="preserve">heading: active items, heading: criteria succes, heading: authority decision right, heading: deliverabl metric succes, heading: group relat, heading: mission statement, heading: leadership</t>
  </si>
  <si>
    <t xml:space="preserve">M-085</t>
  </si>
  <si>
    <t xml:space="preserve">Working group: Progressive Disclosure</t>
  </si>
  <si>
    <t xml:space="preserve">modelcontextprotocol.io/community/working-groups/progressive-disclosure</t>
  </si>
  <si>
    <t xml:space="preserve">Progressive Disclosure Charter - Charter for the MCP Progressive Disclosure Working Group.</t>
  </si>
  <si>
    <t xml:space="preserve">agentic-ai:ch16 (5), agentic-ai:ch17 (4), agentic-ai:ch11 (3)</t>
  </si>
  <si>
    <t xml:space="preserve">heading: problem statement, heading: organization strategi, heading: goals, heading: criteria retirement, heading: principl, heading: discussion topic, heading: criteria succes, heading: authority decision right, heading: deliverabl metric succes, heading: group relat, heading: mission statement, heading: leadership</t>
  </si>
  <si>
    <t xml:space="preserve">M-086</t>
  </si>
  <si>
    <t xml:space="preserve">Working group: Registry</t>
  </si>
  <si>
    <t xml:space="preserve">modelcontextprotocol.io/community/working-groups/registry</t>
  </si>
  <si>
    <t xml:space="preserve">Registry Charter - Charter for the MCP Registry Working Group.</t>
  </si>
  <si>
    <t xml:space="preserve">heading: emeritu membership, heading: active items, heading: criteria succes, heading: authority decision right, heading: deliverabl metric succes, heading: membership, heading: group relat, heading: mission statement, heading: leadership</t>
  </si>
  <si>
    <t xml:space="preserve">M-087</t>
  </si>
  <si>
    <t xml:space="preserve">Working group: SDK</t>
  </si>
  <si>
    <t xml:space="preserve">modelcontextprotocol.io/community/working-groups/sdk</t>
  </si>
  <si>
    <t xml:space="preserve">SDK Working Group Charter - Charter for the MCP SDK Working Group.</t>
  </si>
  <si>
    <t xml:space="preserve">M-088</t>
  </si>
  <si>
    <t xml:space="preserve">Working group: Server Card</t>
  </si>
  <si>
    <t xml:space="preserve">modelcontextprotocol.io/community/working-groups/server-card</t>
  </si>
  <si>
    <t xml:space="preserve">Server Card Charter - Charter for the MCP Server Card Working Group.</t>
  </si>
  <si>
    <t xml:space="preserve">M-089</t>
  </si>
  <si>
    <t xml:space="preserve">Working group: Skills Over MCP</t>
  </si>
  <si>
    <t xml:space="preserve">modelcontextprotocol.io/community/working-groups/skills-over-mcp</t>
  </si>
  <si>
    <t xml:space="preserve">Skills Over MCP Charter - Charter for the MCP Skills Over MCP Working Group.</t>
  </si>
  <si>
    <t xml:space="preserve">heading: complet mileston, heading: criteria succes, heading: authority decision right, heading: deliverabl metric succes, heading: membership, heading: group relat, heading: mission statement, heading: leadership</t>
  </si>
  <si>
    <t xml:space="preserve">M-090</t>
  </si>
  <si>
    <t xml:space="preserve">Working group: Tasks and Events</t>
  </si>
  <si>
    <t xml:space="preserve">modelcontextprotocol.io/community/working-groups/tasks-events</t>
  </si>
  <si>
    <t xml:space="preserve">Tasks and Events Charter - Charter for the MCP Tasks and Events Working Group.</t>
  </si>
  <si>
    <t xml:space="preserve">agentic-ai:ch16 (5), agentic-ai:ch17 (4), agentic-ai:ch11 (2)</t>
  </si>
  <si>
    <t xml:space="preserve">M-091</t>
  </si>
  <si>
    <t xml:space="preserve">Working group: Transports</t>
  </si>
  <si>
    <t xml:space="preserve">modelcontextprotocol.io/community/working-groups/transports</t>
  </si>
  <si>
    <t xml:space="preserve">Transports Charter - Charter for the MCP Transports Working Group.</t>
  </si>
  <si>
    <t xml:space="preserve">Add the missing concepts to MCP ch14</t>
  </si>
  <si>
    <t xml:space="preserve">M-092</t>
  </si>
  <si>
    <t xml:space="preserve">Interest group: Agents</t>
  </si>
  <si>
    <t xml:space="preserve">modelcontextprotocol.io/community/interest-groups/agents</t>
  </si>
  <si>
    <t xml:space="preserve">Agents Charter - Charter for the MCP Agents Interest Group.</t>
  </si>
  <si>
    <t xml:space="preserve">agentic-ai:ch16 (4), agentic-ai:ch12 (3), agentic-ai:ch14 (3)</t>
  </si>
  <si>
    <t xml:space="preserve">heading: discussion topic, heading: membership, heading: group relat, heading: mission statement, heading: leadership</t>
  </si>
  <si>
    <t xml:space="preserve">M-093</t>
  </si>
  <si>
    <t xml:space="preserve">Interest group: Authorization</t>
  </si>
  <si>
    <t xml:space="preserve">modelcontextprotocol.io/community/interest-groups/auth</t>
  </si>
  <si>
    <t xml:space="preserve">Authorization Charter - Charter for the MCP Authorization Interest Group.</t>
  </si>
  <si>
    <t xml:space="preserve">heading: channel thread topic, heading: channel consolidat, heading: agenda calls driven, heading: deliverabl metric succes, heading: membership, heading: group relat, heading: mission statement, heading: leadership</t>
  </si>
  <si>
    <t xml:space="preserve">M-094</t>
  </si>
  <si>
    <t xml:space="preserve">Interest group: Enterprise</t>
  </si>
  <si>
    <t xml:space="preserve">modelcontextprotocol.io/community/interest-groups/enterprise</t>
  </si>
  <si>
    <t xml:space="preserve">Enterprise Interest Group Charter - Charter for the MCP Enterprise Interest Group.</t>
  </si>
  <si>
    <t xml:space="preserve">agentic-ai:ch16 (3), agentic-ai:ch15 (2), agentic-ai:ch18 (2)</t>
  </si>
  <si>
    <t xml:space="preserve">heading: deliverabl optional, heading: decision proces recommendation, heading: membership, heading: group relat, heading: mission statement, heading: leadership</t>
  </si>
  <si>
    <t xml:space="preserve">M-095</t>
  </si>
  <si>
    <t xml:space="preserve">Interest group: Enterprise-Managed Authorization</t>
  </si>
  <si>
    <t xml:space="preserve">modelcontextprotocol.io/community/interest-groups/enterprise-managed-authorization</t>
  </si>
  <si>
    <t xml:space="preserve">Enterprise-Managed Authorization Charter - Charter for the MCP Enterprise-Managed Authorization Interest Group.</t>
  </si>
  <si>
    <t xml:space="preserve">heading: membership, heading: group relat, heading: mission statement, heading: leadership</t>
  </si>
  <si>
    <t xml:space="preserve">M-096</t>
  </si>
  <si>
    <t xml:space="preserve">Interest group: Financial Services</t>
  </si>
  <si>
    <t xml:space="preserve">modelcontextprotocol.io/community/interest-groups/financial-services</t>
  </si>
  <si>
    <t xml:space="preserve">Financial Services Charter - Charter for the MCP Financial Services Interest Group.</t>
  </si>
  <si>
    <t xml:space="preserve">M-097</t>
  </si>
  <si>
    <t xml:space="preserve">Interest group: Scientific Computing</t>
  </si>
  <si>
    <t xml:space="preserve">modelcontextprotocol.io/community/interest-groups/scientific-computing</t>
  </si>
  <si>
    <t xml:space="preserve">Scientific Computing Charter - Charter for the MCP Scientific Computing Interest Group.</t>
  </si>
  <si>
    <t xml:space="preserve">heading: discussion topic, heading: group relat, heading: mission statement, heading: leadership</t>
  </si>
  <si>
    <t xml:space="preserve">M-098</t>
  </si>
  <si>
    <t xml:space="preserve">Interest group: Security</t>
  </si>
  <si>
    <t xml:space="preserve">modelcontextprotocol.io/community/interest-groups/security</t>
  </si>
  <si>
    <t xml:space="preserve">Security Charter - Charter for the MCP Security Interest Group.</t>
  </si>
  <si>
    <t xml:space="preserve">agentic-ai:ch16 (4), agentic-ai:ch17 (3)</t>
  </si>
  <si>
    <t xml:space="preserve">M-099</t>
  </si>
  <si>
    <t xml:space="preserve">Interest group: Tool Annotations</t>
  </si>
  <si>
    <t xml:space="preserve">modelcontextprotocol.io/community/interest-groups/tool-annotations</t>
  </si>
  <si>
    <t xml:space="preserve">Tool Annotations Charter - Charter for the MCP Tool Annotations Interest Group.</t>
  </si>
  <si>
    <t xml:space="preserve">agentic-ai:ch16 (5), agentic-ai:ch17 (4), agentic-ai:ch18 (4)</t>
  </si>
  <si>
    <t xml:space="preserve">heading: active discussion, heading: discussion topic, readonlyhint, openworldhint, idempotenthint, heading: membership, heading: group relat, heading: mission statement, heading: leadership</t>
  </si>
  <si>
    <t xml:space="preserve">M-100</t>
  </si>
  <si>
    <t xml:space="preserve">Roadmap (unversioned)</t>
  </si>
  <si>
    <t xml:space="preserve">Roadmap</t>
  </si>
  <si>
    <t xml:space="preserve">modelcontextprotocol.io/development/roadmap</t>
  </si>
  <si>
    <t xml:space="preserve">Roadmap - The Model Context Protocol roadmap, covering the priority areas Core Maintainers and Working Groups are driving for the next specification release and how they shape SEP review.</t>
  </si>
  <si>
    <t xml:space="preserve">agentic-ai:ch17 (4), agentic-ai:ch13 (2)</t>
  </si>
  <si>
    <t xml:space="preserve">heading: prioritization, heading: improv primitiv, heading: developer experience improv, heading: areas priority</t>
  </si>
  <si>
    <t xml:space="preserve">P-001</t>
  </si>
  <si>
    <t xml:space="preserve">Get Started</t>
  </si>
  <si>
    <t xml:space="preserve">Welcome to Pydantic</t>
  </si>
  <si>
    <t xml:space="preserve">pydantic.dev/docs/validation/latest/index.md</t>
  </si>
  <si>
    <t xml:space="preserve">Pydantic Validation</t>
  </si>
  <si>
    <t xml:space="preserve">pydantic:glossary (4), pydantic:p6 (4), pydantic:p2 (3)</t>
  </si>
  <si>
    <t xml:space="preserve">external_data, annotated_types</t>
  </si>
  <si>
    <t xml:space="preserve">P-002</t>
  </si>
  <si>
    <t xml:space="preserve">Why use Pydantic</t>
  </si>
  <si>
    <t xml:space="preserve">pydantic.dev/docs/validation/latest/why.md</t>
  </si>
  <si>
    <t xml:space="preserve">Why use Pydantic Validation?</t>
  </si>
  <si>
    <t xml:space="preserve">Probably read</t>
  </si>
  <si>
    <t xml:space="preserve">pydantic:p6 (10), pydantic:p2 (9), pydantic:home (8)</t>
  </si>
  <si>
    <t xml:space="preserve">heading: organisation pydantic, heading: customisation, when_now, raw_data, meeting_adapter, m_json, emojis_pydantic_times, emojis_pure_python_times, emojis_pure_python, emojis_json, validatorfunctionwraphandler, tzinfo</t>
  </si>
  <si>
    <t xml:space="preserve">Add the missing concepts to Pydantic home</t>
  </si>
  <si>
    <t xml:space="preserve">P-003</t>
  </si>
  <si>
    <t xml:space="preserve">Help with Pydantic</t>
  </si>
  <si>
    <t xml:space="preserve">pydantic.dev/docs/validation/latest/help_with_pydantic.md</t>
  </si>
  <si>
    <t xml:space="preserve">Getting help with Pydantic</t>
  </si>
  <si>
    <t xml:space="preserve">heading: simple youtube, heading: simple slack, heading: overflow simple stack stackoverflow, heading: documentation material usage, heading: documentation material, heading: discussion github simple</t>
  </si>
  <si>
    <t xml:space="preserve">Read and add to Pydantic home</t>
  </si>
  <si>
    <t xml:space="preserve">P-004</t>
  </si>
  <si>
    <t xml:space="preserve">Enterprise Support</t>
  </si>
  <si>
    <t xml:space="preserve">pydantic.dev/docs/validation/latest/enterprise-support.md</t>
  </si>
  <si>
    <t xml:space="preserve">Enterprise support for Pydantic - Get direct support from Pydantic engineers for production incidents, major upgrades, architecture reviews, performance, and security response.</t>
  </si>
  <si>
    <t xml:space="preserve">heading: question teams, heading: foundation remain source, heading: engineer pydantic, heading: continue read</t>
  </si>
  <si>
    <t xml:space="preserve">P-005</t>
  </si>
  <si>
    <t xml:space="preserve">Installation</t>
  </si>
  <si>
    <t xml:space="preserve">pydantic.dev/docs/validation/latest/install.md</t>
  </si>
  <si>
    <t xml:space="preserve">heading: install repository, heading: dependenci optional</t>
  </si>
  <si>
    <t xml:space="preserve">Read and add to Pydantic Foundations f1 / Pydantic home</t>
  </si>
  <si>
    <t xml:space="preserve">P-006</t>
  </si>
  <si>
    <t xml:space="preserve">Migration Guide (V1 to V2)</t>
  </si>
  <si>
    <t xml:space="preserve">pydantic.dev/docs/validation/latest/migration.md</t>
  </si>
  <si>
    <t xml:space="preserve">V1 - Migrating from Pydantic V1 to Pydantic V2.</t>
  </si>
  <si>
    <t xml:space="preserve">pydantic:p2 (7), pydantic:cheat (6), pydantic:glossary (6)</t>
  </si>
  <si>
    <t xml:space="preserve">mygenericmodel, modelfield, schema_of, parse_obj_as, lenient_isinstance, datetime_parse, class_validators, pydantic_extra_types, orm_mode, getterdict, my_model, val_x</t>
  </si>
  <si>
    <t xml:space="preserve">P-007</t>
  </si>
  <si>
    <t xml:space="preserve">Version Policy</t>
  </si>
  <si>
    <t xml:space="preserve">pydantic.dev/docs/validation/latest/version-policy.md</t>
  </si>
  <si>
    <t xml:space="preserve">pydantic:p6 (2), pydantic:p4 (2), pydantic:home (2)</t>
  </si>
  <si>
    <t xml:space="preserve">heading: experimental featur lifecycle, heading: convention tagg, heading: convention nam, line_number, feature_name, column_number, __pydantic_core_schema__, core_schema</t>
  </si>
  <si>
    <t xml:space="preserve">P-008</t>
  </si>
  <si>
    <t xml:space="preserve">Contributing</t>
  </si>
  <si>
    <t xml:space="preserve">pydantic.dev/docs/validation/latest/contributing.md</t>
  </si>
  <si>
    <t xml:space="preserve">Clone your fork and cd into the repo directory</t>
  </si>
  <si>
    <t xml:space="preserve">pydantic:home (5), pydantic:p10 (4), pydantic:p11 (4)</t>
  </si>
  <si>
    <t xml:space="preserve">heading: tests writ, heading: restructuredtext, heading: prerequisit, heading: policy, heading: lint tests, heading: issu, heading: installation setup, heading: chang commit, heading: badg, heading: add library party pydantic suite, version_info, heading: debugg</t>
  </si>
  <si>
    <t xml:space="preserve">P-009</t>
  </si>
  <si>
    <t xml:space="preserve">pydantic.dev/docs/validation/latest/changelog.md</t>
  </si>
  <si>
    <t xml:space="preserve">Release history, not a concept</t>
  </si>
  <si>
    <t xml:space="preserve">P-010</t>
  </si>
  <si>
    <t xml:space="preserve">Concepts</t>
  </si>
  <si>
    <t xml:space="preserve">pydantic.dev/docs/validation/latest/concepts/models.md</t>
  </si>
  <si>
    <t xml:space="preserve">normal copy gives the same object reference for bar:</t>
  </si>
  <si>
    <t xml:space="preserve">pydantic:p2 (11), pydantic:glossary (11), pydantic:cheat (7)</t>
  </si>
  <si>
    <t xml:space="preserve">typevar, genericmodel, create_model, input_value, input_type, __pydantic_extra__, privateattr, modelb, model_parametrized_name, foobarmodel, my_model, somecompatibletype</t>
  </si>
  <si>
    <t xml:space="preserve">Add the missing concepts to Pydantic ch2</t>
  </si>
  <si>
    <t xml:space="preserve">P-011</t>
  </si>
  <si>
    <t xml:space="preserve">Fields</t>
  </si>
  <si>
    <t xml:space="preserve">pydantic.dev/docs/validation/latest/concepts/fields.md</t>
  </si>
  <si>
    <t xml:space="preserve">pydantic:glossary (16), pydantic:p3 (16), pydantic:p2 (13)</t>
  </si>
  <si>
    <t xml:space="preserve">deprecated_field, exclude_if, withjsonschema, catch_warnings, alt_form, heading: field representation, heading: field inspect model, heading: exclud field, heading: decorator deprecat warning, heading: comput decorator field, heading: boolean deprecat, typing_extensions</t>
  </si>
  <si>
    <t xml:space="preserve">P-012</t>
  </si>
  <si>
    <t xml:space="preserve">JSON Schema</t>
  </si>
  <si>
    <t xml:space="preserve">pydantic.dev/docs/validation/latest/concepts/json_schema.md</t>
  </si>
  <si>
    <t xml:space="preserve">pydantic:p7 (7), pydantic:p11 (7), pydantic:glossary (7)</t>
  </si>
  <si>
    <t xml:space="preserve">field_title_generator, __get_pydantic_core_schema__, core_schema, generatejsonschema, thetype, skipjsonschema, model_title_generator, heading: implement pydantic schema, getcoreschemahandler, withjsonschema, __get_pydantic_json_schema__, schema_generator</t>
  </si>
  <si>
    <t xml:space="preserve">Add the missing concepts to Pydantic ch7</t>
  </si>
  <si>
    <t xml:space="preserve">P-013</t>
  </si>
  <si>
    <t xml:space="preserve">JSON</t>
  </si>
  <si>
    <t xml:space="preserve">pydantic.dev/docs/validation/latest/concepts/json.md</t>
  </si>
  <si>
    <t xml:space="preserve">Read (text; code skimmed)</t>
  </si>
  <si>
    <t xml:space="preserve">pydantic:p11 (11), pydantic:glossary (8), pydantic:p2 (8)</t>
  </si>
  <si>
    <t xml:space="preserve">partial_dog_json, to_json, partial_json_data, nestedmodel, json_data, dog_dict, default_on_error, tuple_type, strip_whitespace, pydanticusedefault, date_type, mymodel</t>
  </si>
  <si>
    <t xml:space="preserve">P-014</t>
  </si>
  <si>
    <t xml:space="preserve">Types</t>
  </si>
  <si>
    <t xml:space="preserve">pydantic.dev/docs/validation/latest/concepts/types.md</t>
  </si>
  <si>
    <t xml:space="preserve">We now create an `Annotated` wrapper that we'll use as the annotation for fields on `BaseModel`s, etc.</t>
  </si>
  <si>
    <t xml:space="preserve">pydantic:glossary (6), pydantic:p3 (5), pydantic:p6 (4)</t>
  </si>
  <si>
    <t xml:space="preserve">__get_pydantic_core_schema__, source_type, thirdpartytype, getpydanticschema, core_schema, get_args, typealiastype, annotated_types, no_info_after_validator_function, typevar, getcoreschemahandler, is_instance_schema</t>
  </si>
  <si>
    <t xml:space="preserve">Add the missing concepts to Pydantic ch3</t>
  </si>
  <si>
    <t xml:space="preserve">P-015</t>
  </si>
  <si>
    <t xml:space="preserve">Unions</t>
  </si>
  <si>
    <t xml:space="preserve">pydantic.dev/docs/validation/latest/concepts/unions.md</t>
  </si>
  <si>
    <t xml:space="preserve">Errors are quite verbose with a normal union:</t>
  </si>
  <si>
    <t xml:space="preserve">pydantic:p6 (16), pydantic:glossary (10), pydantic:p12 (7)</t>
  </si>
  <si>
    <t xml:space="preserve">input_value, input_type, some_field, black_name, heading: modes union, model_x_discriminator, discriminatedmodel, blackcat, string_type, white_name, user_03_uuid, user_03</t>
  </si>
  <si>
    <t xml:space="preserve">Add the missing concepts to Pydantic ch6</t>
  </si>
  <si>
    <t xml:space="preserve">P-016</t>
  </si>
  <si>
    <t xml:space="preserve">Alias</t>
  </si>
  <si>
    <t xml:space="preserve">pydantic.dev/docs/validation/latest/concepts/alias.md</t>
  </si>
  <si>
    <t xml:space="preserve">pydantic:p3 (29), pydantic:glossary (20), pydantic:cheat (10)</t>
  </si>
  <si>
    <t xml:space="preserve">my_alias, my_field, last_name, height, language_code</t>
  </si>
  <si>
    <t xml:space="preserve">P-017</t>
  </si>
  <si>
    <t xml:space="preserve">Configuration</t>
  </si>
  <si>
    <t xml:space="preserve">pydantic.dev/docs/validation/latest/concepts/config.md</t>
  </si>
  <si>
    <t xml:space="preserve">pydantic:p2 (19), pydantic:p6 (10), pydantic:glossary (7)</t>
  </si>
  <si>
    <t xml:space="preserve">str_max_length, john, string_too_long, userwithoutconfig, userwithconfig, user_2, user_1, input_value, input_type, validate_assignment, typing_extensions</t>
  </si>
  <si>
    <t xml:space="preserve">P-018</t>
  </si>
  <si>
    <t xml:space="preserve">Serialization</t>
  </si>
  <si>
    <t xml:space="preserve">pydantic.dev/docs/validation/latest/concepts/serialization.md</t>
  </si>
  <si>
    <t xml:space="preserve">returns a dictionary:</t>
  </si>
  <si>
    <t xml:space="preserve">pydantic:p5 (14), pydantic:glossary (9), pydantic:p2 (4)</t>
  </si>
  <si>
    <t xml:space="preserve">userlogin, serializeasany, ser_number, functional_serializers, outermodel, foobarmodel, barmodel, serializerfunctionwraphandler, exclude_if, usermodel, plainserializer, wrapserializer</t>
  </si>
  <si>
    <t xml:space="preserve">Add the missing concepts to Pydantic ch5</t>
  </si>
  <si>
    <t xml:space="preserve">P-019</t>
  </si>
  <si>
    <t xml:space="preserve">Validators</t>
  </si>
  <si>
    <t xml:space="preserve">pydantic.dev/docs/validation/latest/concepts/validators.md</t>
  </si>
  <si>
    <t xml:space="preserve">pydantic:p4 (17), pydantic:glossary (13), pydantic:cheat (10)</t>
  </si>
  <si>
    <t xml:space="preserve">functional_validators, ensure_list, usermodel, password_repeat, is_even, cast_ints, json_schema_input_type, input_value, input_type, validateas, val_number, skipvalidation</t>
  </si>
  <si>
    <t xml:space="preserve">Add the missing concepts to Pydantic ch4</t>
  </si>
  <si>
    <t xml:space="preserve">P-020</t>
  </si>
  <si>
    <t xml:space="preserve">Dataclasses</t>
  </si>
  <si>
    <t xml:space="preserve">pydantic.dev/docs/validation/latest/concepts/dataclasses.md</t>
  </si>
  <si>
    <t xml:space="preserve">Option 1 -- using the decorator argument:</t>
  </si>
  <si>
    <t xml:space="preserve">pydantic:p6 (16), pydantic:p2 (11), pydantic:glossary (9)</t>
  </si>
  <si>
    <t xml:space="preserve">not_an_int, is_dataclass, heading: hooks initialization validator, __get_pydantic_core_schema__, generate_schema, validate_assignment, pydantica, product_id, mydataclass1, my_dc, demodataclass, convert_int_serial</t>
  </si>
  <si>
    <t xml:space="preserve">P-021</t>
  </si>
  <si>
    <t xml:space="preserve">Forward Annotations</t>
  </si>
  <si>
    <t xml:space="preserve">pydantic.dev/docs/validation/latest/concepts/forward_annotations.md</t>
  </si>
  <si>
    <t xml:space="preserve">pydantic:p6 (4)</t>
  </si>
  <si>
    <t xml:space="preserve">heading: greater</t>
  </si>
  <si>
    <t xml:space="preserve">P-022</t>
  </si>
  <si>
    <t xml:space="preserve">Strict Mode</t>
  </si>
  <si>
    <t xml:space="preserve">pydantic.dev/docs/validation/latest/concepts/strict_mode.md</t>
  </si>
  <si>
    <t xml:space="preserve">pydantic:p7 (8), pydantic:cheat (7), pydantic:glossary (7)</t>
  </si>
  <si>
    <t xml:space="preserve">int_type, input_value, input_type, another_user, strictfloat, strictbytes, date_type, mymodel</t>
  </si>
  <si>
    <t xml:space="preserve">P-023</t>
  </si>
  <si>
    <t xml:space="preserve">Type Adapter</t>
  </si>
  <si>
    <t xml:space="preserve">pydantic.dev/docs/validation/latest/concepts/type_adapter.md</t>
  </si>
  <si>
    <t xml:space="preserve">`item_data` could come from an API call, eg., via something like:</t>
  </si>
  <si>
    <t xml:space="preserve">pydantic:p6 (9), pydantic:p2 (6), pydantic:cheat (6)</t>
  </si>
  <si>
    <t xml:space="preserve">item_data, heading: pars specifi, user_list_adapter, user_list, somemodel, typing_extensions, input_value, input_type</t>
  </si>
  <si>
    <t xml:space="preserve">P-024</t>
  </si>
  <si>
    <t xml:space="preserve">Validation Decorator</t>
  </si>
  <si>
    <t xml:space="preserve">pydantic.dev/docs/validation/latest/concepts/validation_decorator.md</t>
  </si>
  <si>
    <t xml:space="preserve">ignore-above</t>
  </si>
  <si>
    <t xml:space="preserve">pydantic:p4 (9), pydantic:glossary (5), pydantic:p11 (5)</t>
  </si>
  <si>
    <t xml:space="preserve">include_equal, how_many, heading: function signatur, heading: checker compatibility, heading: access function original, input_value, input_type, var_kwargs, var_args, validate_foo, validate_call_decorator, user_id</t>
  </si>
  <si>
    <t xml:space="preserve">P-025</t>
  </si>
  <si>
    <t xml:space="preserve">Conversion Table</t>
  </si>
  <si>
    <t xml:space="preserve">pydantic.dev/docs/validation/latest/concepts/conversion_table.md</t>
  </si>
  <si>
    <t xml:space="preserve">Not readable (generated table)</t>
  </si>
  <si>
    <t xml:space="preserve">P-026</t>
  </si>
  <si>
    <t xml:space="preserve">Settings Management</t>
  </si>
  <si>
    <t xml:space="preserve">pydantic.dev/docs/validation/latest/concepts/pydantic_settings.md</t>
  </si>
  <si>
    <t xml:space="preserve">Settings Management - Support for loading a settings or config class from environment variables or secrets files.</t>
  </si>
  <si>
    <t xml:space="preserve">Read (about 96%)</t>
  </si>
  <si>
    <t xml:space="preserve">P-027</t>
  </si>
  <si>
    <t xml:space="preserve">Performance</t>
  </si>
  <si>
    <t xml:space="preserve">pydantic.dev/docs/validation/latest/concepts/performance.md</t>
  </si>
  <si>
    <t xml:space="preserve">Performance tips</t>
  </si>
  <si>
    <t xml:space="preserve">pydantic:p12 (11), pydantic:p2 (6), pydantic:p6 (6)</t>
  </si>
  <si>
    <t xml:space="preserve">my_func, heading: unchang validation, heading: instantiat typeadapter, heading: early fail failfast, typedmodel, spanmodel, inputmodel, el_type, divmodel, completedstr, completedmodel, class_name</t>
  </si>
  <si>
    <t xml:space="preserve">Add the missing concepts to Pydantic ch12</t>
  </si>
  <si>
    <t xml:space="preserve">P-028</t>
  </si>
  <si>
    <t xml:space="preserve">Experimental</t>
  </si>
  <si>
    <t xml:space="preserve">pydantic.dev/docs/validation/latest/concepts/experimental.md</t>
  </si>
  <si>
    <t xml:space="preserve">Experimental Features</t>
  </si>
  <si>
    <t xml:space="preserve">pydantic:p11 (11), pydantic:p4 (11), pydantic:p2 (6)</t>
  </si>
  <si>
    <t xml:space="preserve">minlen, annotated_types, generate_arguments_schema, schemavalidator, str_strip, favorite_number, experiment_allow_partial, arguments_schema, heading: element error ignore, heading: accept complete invalid, notrequired, mymodel</t>
  </si>
  <si>
    <t xml:space="preserve">P-029</t>
  </si>
  <si>
    <t xml:space="preserve">Internals</t>
  </si>
  <si>
    <t xml:space="preserve">pydantic.dev/docs/validation/latest/internals/architecture.md</t>
  </si>
  <si>
    <t xml:space="preserve">pydantic:p2 (8), pydantic:p6 (7), pydantic:glossary (6)</t>
  </si>
  <si>
    <t xml:space="preserve">__get_pydantic_core_schema__, mygt, generateschema, mystrict, schemavalidator, getcoreschemahandler, serialize_foo, schemaserializer, boolschema, heading: generation schema, heading: communicat pydantic schema, heading: around plugin validation</t>
  </si>
  <si>
    <t xml:space="preserve">P-030</t>
  </si>
  <si>
    <t xml:space="preserve">Resolving Annotations</t>
  </si>
  <si>
    <t xml:space="preserve">pydantic.dev/docs/validation/latest/internals/resolving_annotations.md</t>
  </si>
  <si>
    <t xml:space="preserve">module1.py:</t>
  </si>
  <si>
    <t xml:space="preserve">pydantic:p6 (2)</t>
  </si>
  <si>
    <t xml:space="preserve">mytype, get_type_hints, heading: challeng evaluation runtime, heading: backward compatibility concern limitation, heading: annotation definition resolv, unknowntype, module1, localtype, innertype2, get_annotations, _types_namespace, generateschema</t>
  </si>
  <si>
    <t xml:space="preserve">Read and add to Pydantic ch12</t>
  </si>
  <si>
    <t xml:space="preserve">P-031</t>
  </si>
  <si>
    <t xml:space="preserve">Examples</t>
  </si>
  <si>
    <t xml:space="preserve">Validating File Data</t>
  </si>
  <si>
    <t xml:space="preserve">pydantic.dev/docs/validation/latest/examples/files.md</t>
  </si>
  <si>
    <t xml:space="preserve">pydantic:glossary (7), pydantic:p3 (5), pydantic:p7 (4)</t>
  </si>
  <si>
    <t xml:space="preserve">read_text, json_string, heading: files lines, safe_load, person_list_adapter, person, json_lines, dictreader, configparser, input_value, input_type</t>
  </si>
  <si>
    <t xml:space="preserve">P-032</t>
  </si>
  <si>
    <t xml:space="preserve">Web and API Requests</t>
  </si>
  <si>
    <t xml:space="preserve">pydantic.dev/docs/validation/latest/examples/requests.md</t>
  </si>
  <si>
    <t xml:space="preserve">pydantic:glossary (3), pydantic:p7 (3), pydantic:p3 (3)</t>
  </si>
  <si>
    <t xml:space="preserve">heading: httpx request, raise_for_status, users_list_adapter</t>
  </si>
  <si>
    <t xml:space="preserve">P-033</t>
  </si>
  <si>
    <t xml:space="preserve">Queues</t>
  </si>
  <si>
    <t xml:space="preserve">pydantic.dev/docs/validation/latest/examples/queues.md</t>
  </si>
  <si>
    <t xml:space="preserve">pydantic:glossary (5), pydantic:p3 (5), pydantic:p2 (4)</t>
  </si>
  <si>
    <t xml:space="preserve">user_queue, user_data, queue_name, serialized_data, redis_settings, queue_declare, push_to_queue, connectionparameters, blockingconnection, heading: rabbitmq, heading: queue redis, workersettings</t>
  </si>
  <si>
    <t xml:space="preserve">P-034</t>
  </si>
  <si>
    <t xml:space="preserve">Databases</t>
  </si>
  <si>
    <t xml:space="preserve">pydantic.dev/docs/validation/latest/examples/orms.md</t>
  </si>
  <si>
    <t xml:space="preserve">pydantic:p2 (5), pydantic:glossary (5), pydantic:cheat (5)</t>
  </si>
  <si>
    <t xml:space="preserve">heading: sqlalchemy, sql_model, pydantic_model, mytablemodel, my_table, declarative_base, primary_key, mymodel</t>
  </si>
  <si>
    <t xml:space="preserve">P-035</t>
  </si>
  <si>
    <t xml:space="preserve">Custom Validators</t>
  </si>
  <si>
    <t xml:space="preserve">pydantic.dev/docs/validation/latest/examples/custom_validators.md</t>
  </si>
  <si>
    <t xml:space="preserve">pydantic:cheat (7), pydantic:glossary (7), pydantic:p4 (7)</t>
  </si>
  <si>
    <t xml:space="preserve">validate_user_passwords, upper_bound, mydatetimevalidator, lower_bound, london, forbidden_passwords, heading: annotat custom datetime metadata typ validator, __get_pydantic_core_schema__, no_info_wrap_validator_function, source_type, assertion_error, coreschema</t>
  </si>
  <si>
    <t xml:space="preserve">P-036</t>
  </si>
  <si>
    <t xml:space="preserve">Dynamic models</t>
  </si>
  <si>
    <t xml:space="preserve">pydantic.dev/docs/validation/latest/examples/dynamic_models.md</t>
  </si>
  <si>
    <t xml:space="preserve">pydantic:p2 (2)</t>
  </si>
  <si>
    <t xml:space="preserve">make_fields_optional, model_cls, f_dct, create_model, withjsonschema, fieldinfo, new_fields, new_annotation, f_name, f_info, modeloptional, typevar</t>
  </si>
  <si>
    <t xml:space="preserve">Read and add to Pydantic ch2</t>
  </si>
  <si>
    <t xml:space="preserve">P-037</t>
  </si>
  <si>
    <t xml:space="preserve">Cyclic references</t>
  </si>
  <si>
    <t xml:space="preserve">pydantic.dev/docs/validation/latest/examples/cyclic_references.md</t>
  </si>
  <si>
    <t xml:space="preserve">Create data with cyclic references representing the graph 1 -&gt; 2 -&gt; 3 -&gt; 1</t>
  </si>
  <si>
    <t xml:space="preserve">pydantic:glossary (6), pydantic:cheat (5), pydantic:p6 (4)</t>
  </si>
  <si>
    <t xml:space="preserve">node_data, recursion_loop, value_without_cyclic_refs, suppress_recursion_validation_error, is_recursion_validation_error, drop_cyclic_references, recursionerror</t>
  </si>
  <si>
    <t xml:space="preserve">P-038</t>
  </si>
  <si>
    <t xml:space="preserve">Agent libraries – Pydantic AI</t>
  </si>
  <si>
    <t xml:space="preserve">pydantic.dev/docs/validation/latest/examples/pydantic_ai.md</t>
  </si>
  <si>
    <t xml:space="preserve">pydantic:p4 (3), pydantic:glossary (3), pydantic:p11 (2)</t>
  </si>
  <si>
    <t xml:space="preserve">output_type, validation_context, valid_countries, run_sync, country_must_be_valid</t>
  </si>
  <si>
    <t xml:space="preserve">P-039</t>
  </si>
  <si>
    <t xml:space="preserve">Error Messages</t>
  </si>
  <si>
    <t xml:space="preserve">Error Handling</t>
  </si>
  <si>
    <t xml:space="preserve">pydantic.dev/docs/validation/latest/errors/errors.md</t>
  </si>
  <si>
    <t xml:space="preserve">pydantic:p9 (7), pydantic:glossary (6), pydantic:p4 (5)</t>
  </si>
  <si>
    <t xml:space="preserve">custom_messages, errordetails, new_errors, loc_to_dot_sep, convert_errors, heading: customize error messag, validate_float, testnestedmodel, testmodel, recursive_model, pretty_errors, gt_int</t>
  </si>
  <si>
    <t xml:space="preserve">Add the missing concepts to Pydantic ch9</t>
  </si>
  <si>
    <t xml:space="preserve">P-040</t>
  </si>
  <si>
    <t xml:space="preserve">Validation Errors</t>
  </si>
  <si>
    <t xml:space="preserve">pydantic.dev/docs/validation/latest/errors/validation_errors.md</t>
  </si>
  <si>
    <t xml:space="preserve">from Python</t>
  </si>
  <si>
    <t xml:space="preserve">pydantic:glossary (13), pydantic:p2 (9), pydantic:p3 (9)</t>
  </si>
  <si>
    <t xml:space="preserve">heading: datetime pars, unexpected_keyword_argument, none_required, too_long, uuid_version, uuid_type, uuid_parsing, url_type, url_too_long, url_syntax_violation, url_parsing, unexpected_positional_argument</t>
  </si>
  <si>
    <t xml:space="preserve">P-041</t>
  </si>
  <si>
    <t xml:space="preserve">Usage Errors</t>
  </si>
  <si>
    <t xml:space="preserve">pydantic.dev/docs/validation/latest/errors/usage_errors.md</t>
  </si>
  <si>
    <t xml:space="preserve">this works, though</t>
  </si>
  <si>
    <t xml:space="preserve">pydantic:p4 (9), pydantic:p2 (9), pydantic:cheat (9)</t>
  </si>
  <si>
    <t xml:space="preserve">pydanticusererror, exc_info, create_model, check_a, check_fields, typing_extensions, mymodel, init_var, json_schema_input_type, validate_pet_type, mytypeddict, heading: unsupport validate</t>
  </si>
  <si>
    <t xml:space="preserve">P-042</t>
  </si>
  <si>
    <t xml:space="preserve">Troubleshooting with Logfire</t>
  </si>
  <si>
    <t xml:space="preserve">pydantic.dev/docs/validation/latest/errors/troubleshooting.md</t>
  </si>
  <si>
    <t xml:space="preserve">Troubleshooting Validation Errors with Logfire</t>
  </si>
  <si>
    <t xml:space="preserve">heading: failure recurr whether, heading: failure production record, heading: error explain logfire, instrument_pydantic, schema_name, country_code</t>
  </si>
  <si>
    <t xml:space="preserve">P-043</t>
  </si>
  <si>
    <t xml:space="preserve">Integrations</t>
  </si>
  <si>
    <t xml:space="preserve">Pydantic Logfire</t>
  </si>
  <si>
    <t xml:space="preserve">pydantic.dev/docs/validation/latest/integrations/logfire.md</t>
  </si>
  <si>
    <t xml:space="preserve">instrument_pydantic, heading: fail record validation, heading: choose record, heading: application surround trace, country_code, heading: troubleshoot</t>
  </si>
  <si>
    <t xml:space="preserve">P-044</t>
  </si>
  <si>
    <t xml:space="preserve">LLMs</t>
  </si>
  <si>
    <t xml:space="preserve">pydantic.dev/docs/validation/latest/integrations/llms.md</t>
  </si>
  <si>
    <t xml:space="preserve">P-045</t>
  </si>
  <si>
    <t xml:space="preserve">Mypy</t>
  </si>
  <si>
    <t xml:space="preserve">pydantic.dev/docs/validation/latest/integrations/mypy.md</t>
  </si>
  <si>
    <t xml:space="preserve">pydantic:p2 (3), pydantic:glossary (3), pydantic:p3 (3)</t>
  </si>
  <si>
    <t xml:space="preserve">init_typed, init_forbid_extra, warn_required_dynamic_aliases, heading: field untyp, heading: factory field respect, heading: enabl plugin, heading: construct generate model signature typed, heading: configur plugin, heading: capabiliti plugin, heading: alias dynamic requir, heading: alias dynamic prevent requir, list_of_ints</t>
  </si>
  <si>
    <t xml:space="preserve">P-046</t>
  </si>
  <si>
    <t xml:space="preserve">Pyrefly</t>
  </si>
  <si>
    <t xml:space="preserve">pydantic.dev/docs/validation/latest/integrations/pyrefly.md</t>
  </si>
  <si>
    <t xml:space="preserve">pydantic:p2 (3), pydantic:glossary (3), pydantic:p4 (2)</t>
  </si>
  <si>
    <t xml:space="preserve">model1, model2</t>
  </si>
  <si>
    <t xml:space="preserve">P-047</t>
  </si>
  <si>
    <t xml:space="preserve">PyCharm</t>
  </si>
  <si>
    <t xml:space="preserve">pydantic.dev/docs/validation/latest/integrations/pycharm.md</t>
  </si>
  <si>
    <t xml:space="preserve">P-048</t>
  </si>
  <si>
    <t xml:space="preserve">Hypothesis</t>
  </si>
  <si>
    <t xml:space="preserve">pydantic.dev/docs/validation/latest/integrations/hypothesis.md</t>
  </si>
  <si>
    <t xml:space="preserve">typing_extensions</t>
  </si>
  <si>
    <t xml:space="preserve">P-049</t>
  </si>
  <si>
    <t xml:space="preserve">Visual Studio Code</t>
  </si>
  <si>
    <t xml:space="preserve">pydantic.dev/docs/validation/latest/integrations/visual_studio_code.md</t>
  </si>
  <si>
    <t xml:space="preserve">type: ignore</t>
  </si>
  <si>
    <t xml:space="preserve">pydantic:p2 (4), pydantic:p6 (4), pydantic:p11 (3)</t>
  </si>
  <si>
    <t xml:space="preserve">heading: configure, age_str, heading: override variable, heading: override, heading: install pylance, heading: detail technical, heading: configure pylance, heading: configure environment, heading: check disable, dataclass_transform</t>
  </si>
  <si>
    <t xml:space="preserve">P-050</t>
  </si>
  <si>
    <t xml:space="preserve">datamodel-code-generator</t>
  </si>
  <si>
    <t xml:space="preserve">pydantic.dev/docs/validation/latest/integrations/datamodel_code_generator.md</t>
  </si>
  <si>
    <t xml:space="preserve">Code Generation with datamodel-code-generator</t>
  </si>
  <si>
    <t xml:space="preserve">heading: installation, last_name</t>
  </si>
  <si>
    <t xml:space="preserve">P-051</t>
  </si>
  <si>
    <t xml:space="preserve">devtools</t>
  </si>
  <si>
    <t xml:space="preserve">pydantic.dev/docs/validation/latest/integrations/devtools.md</t>
  </si>
  <si>
    <t xml:space="preserve">P-052</t>
  </si>
  <si>
    <t xml:space="preserve">Rich</t>
  </si>
  <si>
    <t xml:space="preserve">pydantic.dev/docs/validation/latest/integrations/rich.md</t>
  </si>
  <si>
    <t xml:space="preserve">P-053</t>
  </si>
  <si>
    <t xml:space="preserve">Linting</t>
  </si>
  <si>
    <t xml:space="preserve">pydantic.dev/docs/validation/latest/integrations/linting.md</t>
  </si>
  <si>
    <t xml:space="preserve">heading: flake plugin, pydxxx</t>
  </si>
  <si>
    <t xml:space="preserve">P-054</t>
  </si>
  <si>
    <t xml:space="preserve">Documentation</t>
  </si>
  <si>
    <t xml:space="preserve">pydantic.dev/docs/validation/latest/integrations/documentation.md</t>
  </si>
  <si>
    <t xml:space="preserve">intersphinx_mapping</t>
  </si>
  <si>
    <t xml:space="preserve">P-055</t>
  </si>
  <si>
    <t xml:space="preserve">AWS Lambda</t>
  </si>
  <si>
    <t xml:space="preserve">pydantic.dev/docs/validation/latest/integrations/aws_lambda.md</t>
  </si>
  <si>
    <t xml:space="preserve">x86_64, heading: miss module pydantic, heading: function install pydantic, heading: function install librari, heading: context event validat, heading: troubleshoot, heading: debugg, your_package_dir, packagepath, manylinux2014_x86_64, manylinux2014_aarch64, get_config_var</t>
  </si>
  <si>
    <t xml:space="preserve">P-056</t>
  </si>
  <si>
    <t xml:space="preserve">Pydantic People</t>
  </si>
  <si>
    <t xml:space="preserve">pydantic.dev/docs/validation/latest/pydantic_people.md</t>
  </si>
  <si>
    <t xml:space="preserve">heading: reviewer, heading: maintainer, heading: expert, heading: contributor, heading: active month users</t>
  </si>
  <si>
    <t xml:space="preserve">S-001</t>
  </si>
  <si>
    <t xml:space="preserve">Module 1</t>
  </si>
  <si>
    <t xml:space="preserve">Chapter 1: Meet Aldermoor Industries</t>
  </si>
  <si>
    <t xml:space="preserve">meridian-ai-course.netlify.app/module-1</t>
  </si>
  <si>
    <t xml:space="preserve">Meet Aldermoor Industries (9 slides)</t>
  </si>
  <si>
    <t xml:space="preserve">story chapter, no code terms</t>
  </si>
  <si>
    <t xml:space="preserve">S-002</t>
  </si>
  <si>
    <t xml:space="preserve">Chapter 2: A bigger problem than it looks</t>
  </si>
  <si>
    <t xml:space="preserve">A bigger problem than it looks (10 slides)</t>
  </si>
  <si>
    <t xml:space="preserve">S-003</t>
  </si>
  <si>
    <t xml:space="preserve">Chapter 3: What we are going to build</t>
  </si>
  <si>
    <t xml:space="preserve">What we are going to build (11 slides)</t>
  </si>
  <si>
    <t xml:space="preserve">S-004</t>
  </si>
  <si>
    <t xml:space="preserve">Chapter 4: The AI engineer's view: from problem to a working check</t>
  </si>
  <si>
    <t xml:space="preserve">The AI engineer's view: from problem to a working check (13 slides)</t>
  </si>
  <si>
    <t xml:space="preserve">market_rate, rate_used</t>
  </si>
  <si>
    <t xml:space="preserve">S-005</t>
  </si>
  <si>
    <t xml:space="preserve">Chapter 5: The forward-deployed engineer's view: from working check to trusted tool</t>
  </si>
  <si>
    <t xml:space="preserve">The forward-deployed engineer's view: from working check to trusted tool (14 slides)</t>
  </si>
  <si>
    <t xml:space="preserve">currency_pair, rate_used, duration_ms</t>
  </si>
  <si>
    <t xml:space="preserve">S-006</t>
  </si>
  <si>
    <t xml:space="preserve">Module 2</t>
  </si>
  <si>
    <t xml:space="preserve">Chapter 6: What is in a project? Basics for newcomers</t>
  </si>
  <si>
    <t xml:space="preserve">meridian-ai-course.netlify.app/module-2</t>
  </si>
  <si>
    <t xml:space="preserve">What is in a project? Basics for newcomers (11 slides)</t>
  </si>
  <si>
    <t xml:space="preserve">heading: basic newcomer project, langchain_google_genai</t>
  </si>
  <si>
    <t xml:space="preserve">S-007</t>
  </si>
  <si>
    <t xml:space="preserve">Chapter 7: Your tools, and the new project</t>
  </si>
  <si>
    <t xml:space="preserve">Your tools, and the new project (11 slides)</t>
  </si>
  <si>
    <t xml:space="preserve">S-008</t>
  </si>
  <si>
    <t xml:space="preserve">Chapter 8: Packages and the environment</t>
  </si>
  <si>
    <t xml:space="preserve">Packages and the environment (13 slides)</t>
  </si>
  <si>
    <t xml:space="preserve">S-009</t>
  </si>
  <si>
    <t xml:space="preserve">Chapter 9: The folder structure: one file, one job</t>
  </si>
  <si>
    <t xml:space="preserve">The folder structure: one file, one job (10 slides)</t>
  </si>
  <si>
    <t xml:space="preserve">agentic-ai:ch20 (7), rag:r2 (3)</t>
  </si>
  <si>
    <t xml:space="preserve">S-010</t>
  </si>
  <si>
    <t xml:space="preserve">Module 3</t>
  </si>
  <si>
    <t xml:space="preserve">Chapter 10: Settings: the idea, the template and your key</t>
  </si>
  <si>
    <t xml:space="preserve">meridian-ai-course.netlify.app/module-3</t>
  </si>
  <si>
    <t xml:space="preserve">Settings: the idea, the template and your key (9 slides)</t>
  </si>
  <si>
    <t xml:space="preserve">S-011</t>
  </si>
  <si>
    <t xml:space="preserve">Chapter 11: config/settings.py, chunk by chunk</t>
  </si>
  <si>
    <t xml:space="preserve">config/settings.py, chunk by chunk (15 slides)</t>
  </si>
  <si>
    <t xml:space="preserve">agentic-ai:ch20 (5), rag:r2 (2)</t>
  </si>
  <si>
    <t xml:space="preserve">vector_search_index_id, validation_alias, model_validator, local_data_dir, gcs_prefix</t>
  </si>
  <si>
    <t xml:space="preserve">S-012</t>
  </si>
  <si>
    <t xml:space="preserve">Chapter 12: Errors and logging</t>
  </si>
  <si>
    <t xml:space="preserve">Errors and logging (16 slides)</t>
  </si>
  <si>
    <t xml:space="preserve">agentic-ai:ch20 (5)</t>
  </si>
  <si>
    <t xml:space="preserve">get_logger, file_handler, event_dict, console_handler</t>
  </si>
  <si>
    <t xml:space="preserve">S-013</t>
  </si>
  <si>
    <t xml:space="preserve">Module 4</t>
  </si>
  <si>
    <t xml:space="preserve">Chapter 13: RAG explained: give a model your documents</t>
  </si>
  <si>
    <t xml:space="preserve">meridian-ai-course.netlify.app/module-4</t>
  </si>
  <si>
    <t xml:space="preserve">RAG explained: give a model your documents (12 slides)</t>
  </si>
  <si>
    <t xml:space="preserve">rag:r2 (7), agentic-ai:ch20 (4), rag:r3 (4)</t>
  </si>
  <si>
    <t xml:space="preserve">get_embeddings</t>
  </si>
  <si>
    <t xml:space="preserve">S-014</t>
  </si>
  <si>
    <t xml:space="preserve">Chapter 14: The types of RAG, in plain words</t>
  </si>
  <si>
    <t xml:space="preserve">The types of RAG, in plain words (14 slides)</t>
  </si>
  <si>
    <t xml:space="preserve">agentic-ai:ch20 (2), rag:r3 (2)</t>
  </si>
  <si>
    <t xml:space="preserve">S-015</t>
  </si>
  <si>
    <t xml:space="preserve">Chapter 15: The tools behind RAG: embeddings, vector databases</t>
  </si>
  <si>
    <t xml:space="preserve">The tools behind RAG: embeddings, vector databases (10 slides)</t>
  </si>
  <si>
    <t xml:space="preserve">rag:r2 (4), agentic-ai:ch20 (2)</t>
  </si>
  <si>
    <t xml:space="preserve">vectorsearchvectorstore</t>
  </si>
  <si>
    <t xml:space="preserve">S-016</t>
  </si>
  <si>
    <t xml:space="preserve">Chapter 16: Talking to Gemini, and turning text into numbers</t>
  </si>
  <si>
    <t xml:space="preserve">Talking to Gemini, and turning text into numbers (16 slides)</t>
  </si>
  <si>
    <t xml:space="preserve">rag:r2 (7), agentic-ai:ch20 (4), rag:r4 (3)</t>
  </si>
  <si>
    <t xml:space="preserve">output_dimensionality, get_embeddings</t>
  </si>
  <si>
    <t xml:space="preserve">S-017</t>
  </si>
  <si>
    <t xml:space="preserve">Chapter 17: Storing meaning, and keeping the originals</t>
  </si>
  <si>
    <t xml:space="preserve">Storing meaning, and keeping the originals (15 slides)</t>
  </si>
  <si>
    <t xml:space="preserve">agentic-ai:ch20 (6), rag:r2 (6)</t>
  </si>
  <si>
    <t xml:space="preserve">blob_name</t>
  </si>
  <si>
    <t xml:space="preserve">S-018</t>
  </si>
  <si>
    <t xml:space="preserve">Chapter 18: Ingestion: cutting documents into pieces</t>
  </si>
  <si>
    <t xml:space="preserve">Ingestion: cutting documents into pieces (13 slides)</t>
  </si>
  <si>
    <t xml:space="preserve">rag:r2 (6), rag:cheat (2)</t>
  </si>
  <si>
    <t xml:space="preserve">S-019</t>
  </si>
  <si>
    <t xml:space="preserve">Chapter 19: Retrieval and the answer</t>
  </si>
  <si>
    <t xml:space="preserve">Retrieval and the answer (15 slides)</t>
  </si>
  <si>
    <t xml:space="preserve">rag:r3 (7), agentic-ai:ch20 (3), rag:cheat (3)</t>
  </si>
  <si>
    <t xml:space="preserve">S-020</t>
  </si>
  <si>
    <t xml:space="preserve">Chapter 20: Lab: ask the four documents</t>
  </si>
  <si>
    <t xml:space="preserve">Lab: ask the four documents (9 slides)</t>
  </si>
  <si>
    <t xml:space="preserve">agentic-ai:ch20 (3), rag:r2 (2), rag:r3 (2)</t>
  </si>
  <si>
    <t xml:space="preserve">S-021</t>
  </si>
  <si>
    <t xml:space="preserve">Chapter 21: More RAG in code: HyDE, MMR, hybrid search, rerank</t>
  </si>
  <si>
    <t xml:space="preserve">More RAG in code: HyDE, MMR, hybrid search, rerank (17 slides)</t>
  </si>
  <si>
    <t xml:space="preserve">rag:r4 (5), rag:r2 (2)</t>
  </si>
  <si>
    <t xml:space="preserve">variants_lab, parent_page, follow_up</t>
  </si>
  <si>
    <t xml:space="preserve">S-022</t>
  </si>
  <si>
    <t xml:space="preserve">Module 5</t>
  </si>
  <si>
    <t xml:space="preserve">Chapter 22: Agents with LangChain: a refresher, and what an agent is</t>
  </si>
  <si>
    <t xml:space="preserve">meridian-ai-course.netlify.app/module-5</t>
  </si>
  <si>
    <t xml:space="preserve">Agents with LangChain: a refresher, and what an agent is (11 slides)</t>
  </si>
  <si>
    <t xml:space="preserve">tool_calls, approval_needed, amount_eur, system_prompt</t>
  </si>
  <si>
    <t xml:space="preserve">Add the missing concepts to LangChain book</t>
  </si>
  <si>
    <t xml:space="preserve">S-023</t>
  </si>
  <si>
    <t xml:space="preserve">Chapter 23: Tools: functions the model can call</t>
  </si>
  <si>
    <t xml:space="preserve">Tools: functions the model can call (14 slides)</t>
  </si>
  <si>
    <t xml:space="preserve">agentic-ai:ch20 (6)</t>
  </si>
  <si>
    <t xml:space="preserve">tax_rate, tax_amount, market_rate, currency_pair, rate_used</t>
  </si>
  <si>
    <t xml:space="preserve">S-024</t>
  </si>
  <si>
    <t xml:space="preserve">Chapter 24: Prompts are job descriptions</t>
  </si>
  <si>
    <t xml:space="preserve">Prompts are job descriptions (12 slides)</t>
  </si>
  <si>
    <t xml:space="preserve">S-025</t>
  </si>
  <si>
    <t xml:space="preserve">Chapter 25: Middleware: guard-rails around the agent</t>
  </si>
  <si>
    <t xml:space="preserve">Middleware: guard-rails around the agent (11 slides)</t>
  </si>
  <si>
    <t xml:space="preserve">agentic-ai:ch20 (9)</t>
  </si>
  <si>
    <t xml:space="preserve">S-026</t>
  </si>
  <si>
    <t xml:space="preserve">Chapter 26: The audit team</t>
  </si>
  <si>
    <t xml:space="preserve">The audit team (11 slides)</t>
  </si>
  <si>
    <t xml:space="preserve">agentic-ai:ch20 (10)</t>
  </si>
  <si>
    <t xml:space="preserve">synthesis_prompt, system_prompt</t>
  </si>
  <si>
    <t xml:space="preserve">S-027</t>
  </si>
  <si>
    <t xml:space="preserve">Chapter 27: Lab: three audits</t>
  </si>
  <si>
    <t xml:space="preserve">Lab: three audits (11 slides)</t>
  </si>
  <si>
    <t xml:space="preserve">agentic-ai:ch20 (7)</t>
  </si>
  <si>
    <t xml:space="preserve">duration_ms</t>
  </si>
  <si>
    <t xml:space="preserve">S-028</t>
  </si>
  <si>
    <t xml:space="preserve">Module 6</t>
  </si>
  <si>
    <t xml:space="preserve">Chapter 28: An API with FastAPI</t>
  </si>
  <si>
    <t xml:space="preserve">meridian-ai-course.netlify.app/module-6</t>
  </si>
  <si>
    <t xml:space="preserve">An API with FastAPI (12 slides)</t>
  </si>
  <si>
    <t xml:space="preserve">orderresponse, orderrequest, basemodel, status_code, response_model</t>
  </si>
  <si>
    <t xml:space="preserve">S-029</t>
  </si>
  <si>
    <t xml:space="preserve">Chapter 29: Request shapes and routes</t>
  </si>
  <si>
    <t xml:space="preserve">Request shapes and routes (14 slides)</t>
  </si>
  <si>
    <t xml:space="preserve">uptime_seconds, status_router, rag_router, queryrequest, get_supervisor, agent_router, response_model</t>
  </si>
  <si>
    <t xml:space="preserve">S-030</t>
  </si>
  <si>
    <t xml:space="preserve">Chapter 30: The server: assemble it, run it</t>
  </si>
  <si>
    <t xml:space="preserve">The server: assemble it, run it (16 slides)</t>
  </si>
  <si>
    <t xml:space="preserve">ingestion_error, include_router, frontend_dist, exception_handler, configuration_error, status_code</t>
  </si>
  <si>
    <t xml:space="preserve">S-031</t>
  </si>
  <si>
    <t xml:space="preserve">Chapter 31: Reading the log</t>
  </si>
  <si>
    <t xml:space="preserve">Reading the log (10 slides)</t>
  </si>
  <si>
    <t xml:space="preserve">agentic-ai:ch20 (5), rag:glossary (2), rag:r2 (2)</t>
  </si>
  <si>
    <t xml:space="preserve">llm_model_name, duration_ms</t>
  </si>
  <si>
    <t xml:space="preserve">S-032</t>
  </si>
  <si>
    <t xml:space="preserve">Chapter 32: Tests that need no key</t>
  </si>
  <si>
    <t xml:space="preserve">Tests that need no key (11 slides)</t>
  </si>
  <si>
    <t xml:space="preserve">test_upload_skips_non_pdf, test_audit_returns_all_four_sections, test_ask_returns_answer, offline_local_store</t>
  </si>
  <si>
    <t xml:space="preserve">S-033</t>
  </si>
  <si>
    <t xml:space="preserve">Chapter 33: The screen: a React frontend</t>
  </si>
  <si>
    <t xml:space="preserve">The screen: a React frontend (13 slides)</t>
  </si>
  <si>
    <t xml:space="preserve">systemstatustab, ragqatab, documentuploadtab, audittab</t>
  </si>
  <si>
    <t xml:space="preserve">frontend dropped by request (summarised in one page of chapter 20)</t>
  </si>
  <si>
    <t xml:space="preserve">S-034</t>
  </si>
  <si>
    <t xml:space="preserve">Chapter 34: Run it all, locally</t>
  </si>
  <si>
    <t xml:space="preserve">Run it all, locally (12 slides)</t>
  </si>
  <si>
    <t xml:space="preserve">http_code, content_type</t>
  </si>
  <si>
    <t xml:space="preserve">S-035</t>
  </si>
  <si>
    <t xml:space="preserve">Module 7</t>
  </si>
  <si>
    <t xml:space="preserve">Chapter 35: Docker: from your laptop to a container</t>
  </si>
  <si>
    <t xml:space="preserve">meridian-ai-course.netlify.app/module-7</t>
  </si>
  <si>
    <t xml:space="preserve">Docker: from your laptop to a container (15 slides)</t>
  </si>
  <si>
    <t xml:space="preserve">python_version, project_id</t>
  </si>
  <si>
    <t xml:space="preserve">S-036</t>
  </si>
  <si>
    <t xml:space="preserve">Chapter 36: Google Cloud, in plain words</t>
  </si>
  <si>
    <t xml:space="preserve">Google Cloud, in plain words (12 slides)</t>
  </si>
  <si>
    <t xml:space="preserve">agentic-ai:ch20 (5), rag:r2 (4)</t>
  </si>
  <si>
    <t xml:space="preserve">workflow_dispatch, serviceaccount, index_metadata, project_id</t>
  </si>
  <si>
    <t xml:space="preserve">S-037</t>
  </si>
  <si>
    <t xml:space="preserve">Chapter 37: Prepare the cloud</t>
  </si>
  <si>
    <t xml:space="preserve">Prepare the cloud (7 slides)</t>
  </si>
  <si>
    <t xml:space="preserve">my_robot_account, project_id</t>
  </si>
  <si>
    <t xml:space="preserve">S-038</t>
  </si>
  <si>
    <t xml:space="preserve">Chapter 38: The robot account and its key</t>
  </si>
  <si>
    <t xml:space="preserve">The robot account and its key (7 slides)</t>
  </si>
  <si>
    <t xml:space="preserve">policyadmin, client_email</t>
  </si>
  <si>
    <t xml:space="preserve">S-039</t>
  </si>
  <si>
    <t xml:space="preserve">Chapter 39: GitHub and the first run</t>
  </si>
  <si>
    <t xml:space="preserve">GitHub and the first run (12 slides)</t>
  </si>
  <si>
    <t xml:space="preserve">workflow_dispatch, project_number, index_id, endpoint_id, serviceaccount, index_metadata, project_id</t>
  </si>
  <si>
    <t xml:space="preserve">S-040</t>
  </si>
  <si>
    <t xml:space="preserve">Chapter 40: Deploy it, explained</t>
  </si>
  <si>
    <t xml:space="preserve">Deploy it, explained (6 slides)</t>
  </si>
  <si>
    <t xml:space="preserve">init_embeddings, generate_json, algorithm_config, project_number, index_id, endpoint_id, serviceaccount, index_metadata, project_id</t>
  </si>
  <si>
    <t xml:space="preserve">C-001</t>
  </si>
  <si>
    <t xml:space="preserve">Index pages</t>
  </si>
  <si>
    <t xml:space="preserve">Best Practice</t>
  </si>
  <si>
    <t xml:space="preserve">bugs-sleep-6uj.craft.me/agentic3</t>
  </si>
  <si>
    <t xml:space="preserve">Recorded: from build notes</t>
  </si>
  <si>
    <t xml:space="preserve">Foundations home ("How to study this course")</t>
  </si>
  <si>
    <t xml:space="preserve">C-002</t>
  </si>
  <si>
    <t xml:space="preserve">Class 1 - Python</t>
  </si>
  <si>
    <t xml:space="preserve">Foundations f1</t>
  </si>
  <si>
    <t xml:space="preserve">C-003</t>
  </si>
  <si>
    <t xml:space="preserve">Class 2 - Windows, Python Refresher and Pydantic</t>
  </si>
  <si>
    <t xml:space="preserve">C-004</t>
  </si>
  <si>
    <t xml:space="preserve">Class 3 &amp; 4 - Pydantic &amp; AI &amp; Agentic AI Basics</t>
  </si>
  <si>
    <t xml:space="preserve">Foundations f2, Pydantic home</t>
  </si>
  <si>
    <t xml:space="preserve">C-005</t>
  </si>
  <si>
    <t xml:space="preserve">11th July - Python and Agents</t>
  </si>
  <si>
    <t xml:space="preserve">Foundations f4</t>
  </si>
  <si>
    <t xml:space="preserve">C-006</t>
  </si>
  <si>
    <t xml:space="preserve">12th July - Agents, Python and Langchain</t>
  </si>
  <si>
    <t xml:space="preserve">C-007</t>
  </si>
  <si>
    <t xml:space="preserve">18th-19th July - Langchain</t>
  </si>
  <si>
    <t xml:space="preserve">LangChain ch2, ch3</t>
  </si>
  <si>
    <t xml:space="preserve">C-008</t>
  </si>
  <si>
    <t xml:space="preserve">25th - 26th July - Langchain Continue</t>
  </si>
  <si>
    <t xml:space="preserve">LangChain ch4, ch5</t>
  </si>
  <si>
    <t xml:space="preserve">C-009</t>
  </si>
  <si>
    <t xml:space="preserve">1st Aug</t>
  </si>
  <si>
    <t xml:space="preserve">LangChain ch6</t>
  </si>
  <si>
    <t xml:space="preserve">C-010</t>
  </si>
  <si>
    <t xml:space="preserve">8-9th Aug</t>
  </si>
  <si>
    <t xml:space="preserve">(page is empty on Craft)</t>
  </si>
  <si>
    <t xml:space="preserve">C-011</t>
  </si>
  <si>
    <t xml:space="preserve">16th Aug</t>
  </si>
  <si>
    <t xml:space="preserve">LangChain ch9</t>
  </si>
  <si>
    <t xml:space="preserve">C-012</t>
  </si>
  <si>
    <t xml:space="preserve">Job Opportunity</t>
  </si>
  <si>
    <t xml:space="preserve">(recruiting; skipped on purpose)</t>
  </si>
  <si>
    <t xml:space="preserve">C-013</t>
  </si>
  <si>
    <t xml:space="preserve">Udemy</t>
  </si>
  <si>
    <t xml:space="preserve">(sponsor links; skipped on purpose)</t>
  </si>
  <si>
    <t xml:space="preserve">C-014</t>
  </si>
  <si>
    <t xml:space="preserve">22 Aug - Runtime + HITL</t>
  </si>
  <si>
    <t xml:space="preserve">LangChain ch10</t>
  </si>
  <si>
    <t xml:space="preserve">C-015</t>
  </si>
  <si>
    <t xml:space="preserve">MCP Starts</t>
  </si>
  <si>
    <t xml:space="preserve">LangChain ch11 to ch17</t>
  </si>
  <si>
    <t xml:space="preserve">C-016</t>
  </si>
  <si>
    <t xml:space="preserve">Project - AI News Letter</t>
  </si>
  <si>
    <t xml:space="preserve">LangChain ch18 (newsletter project)</t>
  </si>
  <si>
    <t xml:space="preserve">C-017</t>
  </si>
  <si>
    <t xml:space="preserve">COSS Job opportunity</t>
  </si>
  <si>
    <t xml:space="preserve">C-018</t>
  </si>
  <si>
    <t xml:space="preserve">PDF</t>
  </si>
  <si>
    <t xml:space="preserve">AI_Industry_Handbook_2026_Latest.pdf</t>
  </si>
  <si>
    <t xml:space="preserve">Craft entry: Home</t>
  </si>
  <si>
    <t xml:space="preserve">Skipped on purpose</t>
  </si>
  <si>
    <t xml:space="preserve">Business handout marked not for redistribution</t>
  </si>
  <si>
    <t xml:space="preserve">C-019</t>
  </si>
  <si>
    <t xml:space="preserve">Class-1---PythonAI.pdf</t>
  </si>
  <si>
    <t xml:space="preserve">Craft entry: Class 1</t>
  </si>
  <si>
    <t xml:space="preserve">Text extracted</t>
  </si>
  <si>
    <t xml:space="preserve">Proxy: the repo copy was measured</t>
  </si>
  <si>
    <t xml:space="preserve">measured on repo file Class-1-Python-and-AI.pdf</t>
  </si>
  <si>
    <t xml:space="preserve">C-020</t>
  </si>
  <si>
    <t xml:space="preserve">Craft entry: Class 2</t>
  </si>
  <si>
    <t xml:space="preserve">measured on repo file Agentic-3-0.pdf</t>
  </si>
  <si>
    <t xml:space="preserve">C-021</t>
  </si>
  <si>
    <t xml:space="preserve">Craft entry: Classes 3 and 4</t>
  </si>
  <si>
    <t xml:space="preserve">measured on repo file Class-3-4.pdf</t>
  </si>
  <si>
    <t xml:space="preserve">C-022</t>
  </si>
  <si>
    <t xml:space="preserve">Untitled-scene (3).pdf</t>
  </si>
  <si>
    <t xml:space="preserve">Craft entry: 12 July</t>
  </si>
  <si>
    <t xml:space="preserve">measured on repo file Untitled-scene.pdf</t>
  </si>
  <si>
    <t xml:space="preserve">C-023</t>
  </si>
  <si>
    <t xml:space="preserve">measured on repo file Agentic-Python.pdf</t>
  </si>
  <si>
    <t xml:space="preserve">C-024</t>
  </si>
  <si>
    <t xml:space="preserve">Langchain.pdf (22 MB)</t>
  </si>
  <si>
    <t xml:space="preserve">Craft entry: 18-19 July</t>
  </si>
  <si>
    <t xml:space="preserve">measured on repo file Langchain.pdf</t>
  </si>
  <si>
    <t xml:space="preserve">C-025</t>
  </si>
  <si>
    <t xml:space="preserve">Langchain (2).pdf (24 MB)</t>
  </si>
  <si>
    <t xml:space="preserve">Craft entry: 25-26 July</t>
  </si>
  <si>
    <t xml:space="preserve">Same name family as the repo copy; byte equality not checked</t>
  </si>
  <si>
    <t xml:space="preserve">C-026</t>
  </si>
  <si>
    <t xml:space="preserve">Langchain (1).pdf (24 MB)</t>
  </si>
  <si>
    <t xml:space="preserve">C-027</t>
  </si>
  <si>
    <t xml:space="preserve">Langchain-2 (1).pdf</t>
  </si>
  <si>
    <t xml:space="preserve">measured on repo file Langchain-2.pdf</t>
  </si>
  <si>
    <t xml:space="preserve">C-028</t>
  </si>
  <si>
    <t xml:space="preserve">C-029</t>
  </si>
  <si>
    <t xml:space="preserve">Langchain-2 (2).pdf</t>
  </si>
  <si>
    <t xml:space="preserve">Craft entry: 1 Aug</t>
  </si>
  <si>
    <t xml:space="preserve">C-030</t>
  </si>
  <si>
    <t xml:space="preserve">Craft entry: 22 Aug</t>
  </si>
  <si>
    <t xml:space="preserve">measured on repo file Runtime-HITL.pdf</t>
  </si>
  <si>
    <t xml:space="preserve">C-031</t>
  </si>
  <si>
    <t xml:space="preserve">MCP-Lifecycle.pdf (1.4 MB)</t>
  </si>
  <si>
    <t xml:space="preserve">Craft entry: MCP Starts</t>
  </si>
  <si>
    <t xml:space="preserve">measured on repo file MCP-Lifecycle.pdf</t>
  </si>
  <si>
    <t xml:space="preserve">C-032</t>
  </si>
  <si>
    <t xml:space="preserve">MCP-Lifecycle.pdf (1.8 MB, second version)</t>
  </si>
  <si>
    <t xml:space="preserve">Read 31 Oct</t>
  </si>
  <si>
    <t xml:space="preserve">LangChain ch11 section "What the Craft MCP whiteboards add"</t>
  </si>
  <si>
    <t xml:space="preserve">C-033</t>
  </si>
  <si>
    <t xml:space="preserve">measured on repo file Complete-MCP.pdf</t>
  </si>
  <si>
    <t xml:space="preserve">C-034</t>
  </si>
  <si>
    <t xml:space="preserve">measured on repo file MCP-Primitives.pdf</t>
  </si>
  <si>
    <t xml:space="preserve">C-035</t>
  </si>
  <si>
    <t xml:space="preserve">MCP-Server.pdf</t>
  </si>
  <si>
    <t xml:space="preserve">C-036</t>
  </si>
  <si>
    <t xml:space="preserve">MCP-Client.pdf</t>
  </si>
  <si>
    <t xml:space="preserve">C-037</t>
  </si>
  <si>
    <t xml:space="preserve">measured on repo file AI-Updater-Project.pdf</t>
  </si>
  <si>
    <t xml:space="preserve">C-038</t>
  </si>
  <si>
    <t xml:space="preserve">Xunova-JD-Senior-AI-Engineer.pdf</t>
  </si>
  <si>
    <t xml:space="preserve">Craft entry: Job Opportunity</t>
  </si>
  <si>
    <t xml:space="preserve">Job ad</t>
  </si>
  <si>
    <t xml:space="preserve">C-039</t>
  </si>
  <si>
    <t xml:space="preserve">Xunova-JD-Senior-Data-Scientist.pdf</t>
  </si>
  <si>
    <t xml:space="preserve">C-040</t>
  </si>
  <si>
    <t xml:space="preserve">Notebook</t>
  </si>
  <si>
    <t xml:space="preserve">Read from the repo copy</t>
  </si>
  <si>
    <t xml:space="preserve">measured on repo file Revision_Parts_1-4.ipynb</t>
  </si>
  <si>
    <t xml:space="preserve">C-041</t>
  </si>
  <si>
    <t xml:space="preserve">Craft entry: 16 Aug</t>
  </si>
  <si>
    <t xml:space="preserve">measured on repo file Assignment_2_Agents_and_Prebuilt_Middleware.ipynb</t>
  </si>
  <si>
    <t xml:space="preserve">C-042</t>
  </si>
  <si>
    <t xml:space="preserve">measured on repo file Assignment_LangChain_Fundamentals_SOLUTIONS.ipynb</t>
  </si>
  <si>
    <t xml:space="preserve">C-043</t>
  </si>
  <si>
    <t xml:space="preserve">measured on repo file Runtime_and_HITL.ipynb</t>
  </si>
  <si>
    <t xml:space="preserve">C-044</t>
  </si>
  <si>
    <t xml:space="preserve">Diagram file</t>
  </si>
  <si>
    <t xml:space="preserve">NOT OPENED (its PDF export was read)</t>
  </si>
  <si>
    <t xml:space="preserve">Same content as Runtime-HITL.pdf, which is covered in chapter 10</t>
  </si>
  <si>
    <t xml:space="preserve">C-045</t>
  </si>
  <si>
    <t xml:space="preserve">Colab</t>
  </si>
  <si>
    <t xml:space="preserve">Colab: Python Refresher and Pydantic</t>
  </si>
  <si>
    <t xml:space="preserve">Opened; compared with the repo notebook</t>
  </si>
  <si>
    <t xml:space="preserve">Python only; Foundations f1</t>
  </si>
  <si>
    <t xml:space="preserve">C-046</t>
  </si>
  <si>
    <t xml:space="preserve">Colab: Pydantic From Scratch</t>
  </si>
  <si>
    <t xml:space="preserve">Opened; compared by title and opening cells</t>
  </si>
  <si>
    <t xml:space="preserve">measured on repo file Pydantic_From_Scratch.ipynb</t>
  </si>
  <si>
    <t xml:space="preserve">C-047</t>
  </si>
  <si>
    <t xml:space="preserve">Colab: Python and Agents</t>
  </si>
  <si>
    <t xml:space="preserve">Craft entry: 11 July</t>
  </si>
  <si>
    <t xml:space="preserve">Opened and read</t>
  </si>
  <si>
    <t xml:space="preserve">C-048</t>
  </si>
  <si>
    <t xml:space="preserve">Colab: verbose tool agent</t>
  </si>
  <si>
    <t xml:space="preserve">Opened and read (contains a key; not copied)</t>
  </si>
  <si>
    <t xml:space="preserve">C-049</t>
  </si>
  <si>
    <t xml:space="preserve">Colab: Langchain Collab (models, streaming)</t>
  </si>
  <si>
    <t xml:space="preserve">Opened; compared with the repo notebook (contains keys; not copied)</t>
  </si>
  <si>
    <t xml:space="preserve">LangChain ch3</t>
  </si>
  <si>
    <t xml:space="preserve">C-050</t>
  </si>
  <si>
    <t xml:space="preserve">Colab: Langchain_Continue (CineBot)</t>
  </si>
  <si>
    <t xml:space="preserve">LangChain ch4</t>
  </si>
  <si>
    <t xml:space="preserve">C-051</t>
  </si>
  <si>
    <t xml:space="preserve">Colab: Student Reference, Structured Output and Tools</t>
  </si>
  <si>
    <t xml:space="preserve">measured on repo file Student_Reference_Structured_Output_and_Tools.ipynb</t>
  </si>
  <si>
    <t xml:space="preserve">C-052</t>
  </si>
  <si>
    <t xml:space="preserve">Colab: Custom Middleware</t>
  </si>
  <si>
    <t xml:space="preserve">Opened and read in full (no repo copy)</t>
  </si>
  <si>
    <t xml:space="preserve">LangChain ch9 section "The live-class Colab"</t>
  </si>
  <si>
    <t xml:space="preserve">C-053</t>
  </si>
  <si>
    <t xml:space="preserve">Colab: Runtime and HITL</t>
  </si>
  <si>
    <t xml:space="preserve">C-054</t>
  </si>
  <si>
    <t xml:space="preserve">Colab: MCP adapter notebook (Untitled2)</t>
  </si>
  <si>
    <t xml:space="preserve">LangChain ch18 section "The MCP adapter Colab"</t>
  </si>
  <si>
    <t xml:space="preserve">C-055</t>
  </si>
  <si>
    <t xml:space="preserve">Video</t>
  </si>
  <si>
    <t xml:space="preserve">Video: Class 1 setup (YouTube)</t>
  </si>
  <si>
    <t xml:space="preserve">NOT WATCHED</t>
  </si>
  <si>
    <t xml:space="preserve">Transcript not obtained</t>
  </si>
  <si>
    <t xml:space="preserve">Read and add to decide</t>
  </si>
  <si>
    <t xml:space="preserve">C-056</t>
  </si>
  <si>
    <t xml:space="preserve">Video: Class 1 second link (YouTube)</t>
  </si>
  <si>
    <t xml:space="preserve">C-057</t>
  </si>
  <si>
    <t xml:space="preserve">Video: Class 2 (2:45 min)</t>
  </si>
  <si>
    <t xml:space="preserve">C-058</t>
  </si>
  <si>
    <t xml:space="preserve">Video: Classes 3 and 4 (23:42 min)</t>
  </si>
  <si>
    <t xml:space="preserve">C-059</t>
  </si>
  <si>
    <t xml:space="preserve">Video: 25-26 July (20:12 min)</t>
  </si>
  <si>
    <t xml:space="preserve">C-060</t>
  </si>
  <si>
    <t xml:space="preserve">Other links</t>
  </si>
  <si>
    <t xml:space="preserve">Mayank Doubt Solver (ChatGPT link)</t>
  </si>
  <si>
    <t xml:space="preserve">Not opened</t>
  </si>
  <si>
    <t xml:space="preserve">A ChatGPT tutor; cannot be read as a document</t>
  </si>
  <si>
    <t xml:space="preserve">C-061</t>
  </si>
  <si>
    <t xml:space="preserve">github.com/x1xhlol/system-prompts-and-models-of-ai-tools</t>
  </si>
  <si>
    <t xml:space="preserve">Collected system prompts of AI tools; optional</t>
  </si>
  <si>
    <t xml:space="preserve">C-062</t>
  </si>
  <si>
    <t xml:space="preserve">MCP Inspector link with a token in the URL</t>
  </si>
  <si>
    <t xml:space="preserve">Local link; the token is not copied</t>
  </si>
  <si>
    <t xml:space="preserve">C-063</t>
  </si>
  <si>
    <t xml:space="preserve">Udemy and Mesh API and Kimi links</t>
  </si>
  <si>
    <t xml:space="preserve">Sponsor links</t>
  </si>
  <si>
    <t xml:space="preserve">N-001</t>
  </si>
  <si>
    <t xml:space="preserve">Netlify</t>
  </si>
  <si>
    <t xml:space="preserve">pydantic-with-mayank.netlify.app</t>
  </si>
  <si>
    <t xml:space="preserve">Pydantic p1 to p12</t>
  </si>
  <si>
    <t xml:space="preserve">N-002</t>
  </si>
  <si>
    <t xml:space="preserve">ai-terms-with-mayank.netlify.app</t>
  </si>
  <si>
    <t xml:space="preserve">Foundations f2</t>
  </si>
  <si>
    <t xml:space="preserve">N-003</t>
  </si>
  <si>
    <t xml:space="preserve">context-with-mayank.netlify.app</t>
  </si>
  <si>
    <t xml:space="preserve">N-004</t>
  </si>
  <si>
    <t xml:space="preserve">python-agents-with-mayank.netlify.app</t>
  </si>
  <si>
    <t xml:space="preserve">N-005</t>
  </si>
  <si>
    <t xml:space="preserve">mcp-lifecycle.netlify.app</t>
  </si>
  <si>
    <t xml:space="preserve">LangChain ch12 to ch14</t>
  </si>
  <si>
    <t xml:space="preserve">N-006</t>
  </si>
  <si>
    <t xml:space="preserve">mcp-lifecycle-simulator.netlify.app</t>
  </si>
  <si>
    <t xml:space="preserve">LangChain ch12, ch13</t>
  </si>
  <si>
    <t xml:space="preserve">N-007</t>
  </si>
  <si>
    <t xml:space="preserve">mcp-legacy-vs-modern.netlify.app</t>
  </si>
  <si>
    <t xml:space="preserve">LangChain ch17</t>
  </si>
  <si>
    <t xml:space="preserve">N-008</t>
  </si>
  <si>
    <t xml:space="preserve">ai-automation-with-mayank.netlify.app: guide APIs</t>
  </si>
  <si>
    <t xml:space="preserve">ai-automation-with-mayank.netlify.app</t>
  </si>
  <si>
    <t xml:space="preserve">Foundations f1A</t>
  </si>
  <si>
    <t xml:space="preserve">N-009</t>
  </si>
  <si>
    <t xml:space="preserve">ai-automation-with-mayank.netlify.app: guide economics (subscription vs API)</t>
  </si>
  <si>
    <t xml:space="preserve">N-010</t>
  </si>
  <si>
    <t xml:space="preserve">ai-automation-with-mayank.netlify.app: guide open source</t>
  </si>
  <si>
    <t xml:space="preserve">N-011</t>
  </si>
  <si>
    <t xml:space="preserve">ai-automation-with-mayank.netlify.app: guide MCP</t>
  </si>
  <si>
    <t xml:space="preserve">LangChain ch11</t>
  </si>
  <si>
    <t xml:space="preserve">N-012</t>
  </si>
  <si>
    <t xml:space="preserve">ai-automation-with-mayank.netlify.app: guide RAG</t>
  </si>
  <si>
    <t xml:space="preserve">RAG r1</t>
  </si>
  <si>
    <t xml:space="preserve">N-013</t>
  </si>
  <si>
    <t xml:space="preserve">ai-automation-with-mayank.netlify.app: guide production readiness</t>
  </si>
  <si>
    <t xml:space="preserve">LangChain ch8</t>
  </si>
  <si>
    <t xml:space="preserve">N-014</t>
  </si>
  <si>
    <t xml:space="preserve">ai-automation-with-mayank.netlify.app: guide multi-agent</t>
  </si>
  <si>
    <t xml:space="preserve">LangChain ch19</t>
  </si>
  <si>
    <t xml:space="preserve">N-015</t>
  </si>
  <si>
    <t xml:space="preserve">mini-contra.netlify.app</t>
  </si>
  <si>
    <t xml:space="preserve">Opened</t>
  </si>
  <si>
    <t xml:space="preserve">A small arcade-style game</t>
  </si>
  <si>
    <t xml:space="preserve">N-016</t>
  </si>
  <si>
    <t xml:space="preserve">resilient-marzipan-839ad0.netlify.app</t>
  </si>
  <si>
    <t xml:space="preserve">Listed as "will not work" on Craft</t>
  </si>
  <si>
    <t xml:space="preserve">G-001</t>
  </si>
  <si>
    <t xml:space="preserve">GitHub</t>
  </si>
  <si>
    <t xml:space="preserve">mayank953/meridian-ai-learner</t>
  </si>
  <si>
    <t xml:space="preserve">github.com/mayank953/meridian-ai-learner</t>
  </si>
  <si>
    <t xml:space="preserve">The Meridian project code (same files as the Weekend 14 folder)</t>
  </si>
  <si>
    <t xml:space="preserve">README, code and frontend digest read; 17 tests run</t>
  </si>
  <si>
    <t xml:space="preserve">LangChain ch20, RAG r1 to r5</t>
  </si>
  <si>
    <t xml:space="preserve">Files themselves are rows under Course repo file, Weekend 14</t>
  </si>
  <si>
    <t xml:space="preserve">G-002</t>
  </si>
  <si>
    <t xml:space="preserve">patoles/agent-flow</t>
  </si>
  <si>
    <t xml:space="preserve">github.com/patoles/agent-flow</t>
  </si>
  <si>
    <t xml:space="preserve">An agent-flow visualiser listed on the Craft page</t>
  </si>
  <si>
    <t xml:space="preserve">README and folder layout only</t>
  </si>
  <si>
    <t xml:space="preserve">Source code not read</t>
  </si>
  <si>
    <t xml:space="preserve">How this sheet works</t>
  </si>
  <si>
    <t xml:space="preserve">One row per item</t>
  </si>
  <si>
    <t xml:space="preserve">Every file in the course repo, every page of the LangChain, MCP and Pydantic documentation, every Meridian slide chapter, every Craft page and attachment, every instructor site and other repo.</t>
  </si>
  <si>
    <t xml:space="preserve">What I did with the item itself: Read properly / Read in full, Looked through, NOT READ, Ignored, Excluded by you, Skipped on purpose.</t>
  </si>
  <si>
    <t xml:space="preserve">Whether the concepts in the item are in the books. This is separate from Read status: a page can be unread but its concepts may still be in the books from class notes, and a page can be read but only partly covered.</t>
  </si>
  <si>
    <t xml:space="preserve">   Covered</t>
  </si>
  <si>
    <t xml:space="preserve">At least 55% of the item's distinctive terms are in the relevant book (35% if a chapter links to it as a source).</t>
  </si>
  <si>
    <t xml:space="preserve">   Partly covered</t>
  </si>
  <si>
    <t xml:space="preserve">25% to 55% of its distinctive terms are in the books, or a chapter links to it. "Missing concepts" lists terms not found.</t>
  </si>
  <si>
    <t xml:space="preserve">   Not covered</t>
  </si>
  <si>
    <t xml:space="preserve">Under 25% of its distinctive terms are in the books and no chapter links to it.</t>
  </si>
  <si>
    <t xml:space="preserve">   No teaching content</t>
  </si>
  <si>
    <t xml:space="preserve">Lock files, config, images, job ads, or too little text to measure.</t>
  </si>
  <si>
    <t xml:space="preserve">   Excluded by you</t>
  </si>
  <si>
    <t xml:space="preserve">Frontend material and the pages you asked me to drop.</t>
  </si>
  <si>
    <t xml:space="preserve">   Not applicable</t>
  </si>
  <si>
    <t xml:space="preserve">Pages outside the LangChain book (LangGraph not started, other products, integrations, generated API reference).</t>
  </si>
  <si>
    <t xml:space="preserve">Share of the item's top 40 distinctive terms found in the books. Terms are code names (functions, classes, settings) and heading phrases. Generic words are removed. The books searched depend on the topic: MCP pages against the MCP chapters (LangChain ch11 to ch18), Pydantic pages against the Pydantic book, LangChain pages against the LangChain book, Meridian against the RAG book and chapter 20.</t>
  </si>
  <si>
    <t xml:space="preserve">Measured = the term overlap above. Recorded = taken from my build notes (Craft, sites). Proxy = the repo copy of the same file was measured.</t>
  </si>
  <si>
    <t xml:space="preserve">Limits of the measure</t>
  </si>
  <si>
    <t xml:space="preserve">It finds missing names and headings, not wrong explanations. A high score means the concept is named and discussed, not that the explanation is complete. Code files score low when the book explains the idea in plain words without using the file's function names. Treat "Partly covered" as a prompt to look, not a verdict.</t>
  </si>
  <si>
    <t xml:space="preserve">To do = I should add content. Needs your decision = low priority or a choice that is yours (for example community pages). Done = covered. Not needed = nothing to cover.</t>
  </si>
  <si>
    <t xml:space="preserve">Updating</t>
  </si>
  <si>
    <t xml:space="preserve">After every prompt run: python3 -I build/master_analyze.py &lt;repo&gt; &lt;docsrc&gt;; python3 -I build/master_xlsx.py. Manual updates go in build/master_overrides.json.</t>
  </si>
  <si>
    <t xml:space="preserve">Sources of the documentation text</t>
  </si>
  <si>
    <t xml:space="preserve">MCP: github.com/modelcontextprotocol/modelcontextprotocol (docs, version 2026-07-28). Pydantic: github.com/pydantic/pydantic (docs folder, main branch, close to but not exactly the "latest" site). LangChain: github.com/langchain-ai/docs (src/oss). The page lists come from the sites' llms.txt indexes.</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</si>
</sst>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
      <sz val="9"/>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
      <fill>
        <patternFill>
          <bgColor rgb="FFD9D9D9"/>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3" min="2"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5" hidden="false" customHeight="false" outlineLevel="0" collapsed="false">
      <c r="A5" s="4" t="s">
        <v>14</v>
      </c>
      <c r="B5" s="4" t="n">
        <f aca="false">COUNTIFS(MASTER!$B:$B,$A5)</f>
        <v>464</v>
      </c>
      <c r="C5" s="4" t="n">
        <f aca="false">COUNTIFS(MASTER!$B:$B,$A5,MASTER!$H:$H,C$4)</f>
        <v>225</v>
      </c>
      <c r="D5" s="4" t="n">
        <f aca="false">COUNTIFS(MASTER!$B:$B,$A5,MASTER!$H:$H,D$4)</f>
        <v>27</v>
      </c>
      <c r="E5" s="4" t="n">
        <f aca="false">COUNTIFS(MASTER!$B:$B,$A5,MASTER!$H:$H,E$4)</f>
        <v>4</v>
      </c>
      <c r="F5" s="4" t="n">
        <f aca="false">COUNTIFS(MASTER!$B:$B,$A5,MASTER!$H:$H,F$4)</f>
        <v>0</v>
      </c>
      <c r="G5" s="4" t="n">
        <f aca="false">COUNTIFS(MASTER!$B:$B,$A5,MASTER!$H:$H,G$4)</f>
        <v>67</v>
      </c>
      <c r="H5" s="4" t="n">
        <f aca="false">COUNTIFS(MASTER!$B:$B,$A5,MASTER!$H:$H,H$4)</f>
        <v>141</v>
      </c>
      <c r="I5" s="4" t="n">
        <f aca="false">COUNTIFS(MASTER!$B:$B,$A5,MASTER!$H:$H,I$4)</f>
        <v>0</v>
      </c>
      <c r="J5" s="4" t="n">
        <f aca="false">C5+D5+E5+F5</f>
        <v>256</v>
      </c>
      <c r="K5" s="5" t="n">
        <f aca="false">IF(J5=0,0,C5/J5)</f>
        <v>0.87890625</v>
      </c>
      <c r="L5" s="5" t="n">
        <f aca="false">IF(J5=0,0,(C5+D5)/J5)</f>
        <v>0.984375</v>
      </c>
    </row>
    <row r="6" customFormat="false" ht="15" hidden="false" customHeight="false" outlineLevel="0" collapsed="false">
      <c r="A6" s="4" t="s">
        <v>15</v>
      </c>
      <c r="B6" s="4" t="n">
        <f aca="false">COUNTIFS(MASTER!$B:$B,$A6)</f>
        <v>196</v>
      </c>
      <c r="C6" s="4" t="n">
        <f aca="false">COUNTIFS(MASTER!$B:$B,$A6,MASTER!$H:$H,C$4)</f>
        <v>39</v>
      </c>
      <c r="D6" s="4" t="n">
        <f aca="false">COUNTIFS(MASTER!$B:$B,$A6,MASTER!$H:$H,D$4)</f>
        <v>10</v>
      </c>
      <c r="E6" s="4" t="n">
        <f aca="false">COUNTIFS(MASTER!$B:$B,$A6,MASTER!$H:$H,E$4)</f>
        <v>1</v>
      </c>
      <c r="F6" s="4" t="n">
        <f aca="false">COUNTIFS(MASTER!$B:$B,$A6,MASTER!$H:$H,F$4)</f>
        <v>0</v>
      </c>
      <c r="G6" s="4" t="n">
        <f aca="false">COUNTIFS(MASTER!$B:$B,$A6,MASTER!$H:$H,G$4)</f>
        <v>26</v>
      </c>
      <c r="H6" s="4" t="n">
        <f aca="false">COUNTIFS(MASTER!$B:$B,$A6,MASTER!$H:$H,H$4)</f>
        <v>3</v>
      </c>
      <c r="I6" s="4" t="n">
        <f aca="false">COUNTIFS(MASTER!$B:$B,$A6,MASTER!$H:$H,I$4)</f>
        <v>117</v>
      </c>
      <c r="J6" s="4" t="n">
        <f aca="false">C6+D6+E6+F6</f>
        <v>50</v>
      </c>
      <c r="K6" s="5" t="n">
        <f aca="false">IF(J6=0,0,C6/J6)</f>
        <v>0.78</v>
      </c>
      <c r="L6" s="5" t="n">
        <f aca="false">IF(J6=0,0,(C6+D6)/J6)</f>
        <v>0.98</v>
      </c>
    </row>
    <row r="7" customFormat="false" ht="15" hidden="false" customHeight="false" outlineLevel="0" collapsed="false">
      <c r="A7" s="4" t="s">
        <v>16</v>
      </c>
      <c r="B7" s="4" t="n">
        <f aca="false">COUNTIFS(MASTER!$B:$B,$A7)</f>
        <v>100</v>
      </c>
      <c r="C7" s="4" t="n">
        <f aca="false">COUNTIFS(MASTER!$B:$B,$A7,MASTER!$H:$H,C$4)</f>
        <v>48</v>
      </c>
      <c r="D7" s="4" t="n">
        <f aca="false">COUNTIFS(MASTER!$B:$B,$A7,MASTER!$H:$H,D$4)</f>
        <v>44</v>
      </c>
      <c r="E7" s="4" t="n">
        <f aca="false">COUNTIFS(MASTER!$B:$B,$A7,MASTER!$H:$H,E$4)</f>
        <v>7</v>
      </c>
      <c r="F7" s="4" t="n">
        <f aca="false">COUNTIFS(MASTER!$B:$B,$A7,MASTER!$H:$H,F$4)</f>
        <v>0</v>
      </c>
      <c r="G7" s="4" t="n">
        <f aca="false">COUNTIFS(MASTER!$B:$B,$A7,MASTER!$H:$H,G$4)</f>
        <v>0</v>
      </c>
      <c r="H7" s="4" t="n">
        <f aca="false">COUNTIFS(MASTER!$B:$B,$A7,MASTER!$H:$H,H$4)</f>
        <v>1</v>
      </c>
      <c r="I7" s="4" t="n">
        <f aca="false">COUNTIFS(MASTER!$B:$B,$A7,MASTER!$H:$H,I$4)</f>
        <v>0</v>
      </c>
      <c r="J7" s="4" t="n">
        <f aca="false">C7+D7+E7+F7</f>
        <v>99</v>
      </c>
      <c r="K7" s="5" t="n">
        <f aca="false">IF(J7=0,0,C7/J7)</f>
        <v>0.484848484848485</v>
      </c>
      <c r="L7" s="5" t="n">
        <f aca="false">IF(J7=0,0,(C7+D7)/J7)</f>
        <v>0.929292929292929</v>
      </c>
    </row>
    <row r="8" customFormat="false" ht="15" hidden="false" customHeight="false" outlineLevel="0" collapsed="false">
      <c r="A8" s="4" t="s">
        <v>17</v>
      </c>
      <c r="B8" s="4" t="n">
        <f aca="false">COUNTIFS(MASTER!$B:$B,$A8)</f>
        <v>56</v>
      </c>
      <c r="C8" s="4" t="n">
        <f aca="false">COUNTIFS(MASTER!$B:$B,$A8,MASTER!$H:$H,C$4)</f>
        <v>13</v>
      </c>
      <c r="D8" s="4" t="n">
        <f aca="false">COUNTIFS(MASTER!$B:$B,$A8,MASTER!$H:$H,D$4)</f>
        <v>25</v>
      </c>
      <c r="E8" s="4" t="n">
        <f aca="false">COUNTIFS(MASTER!$B:$B,$A8,MASTER!$H:$H,E$4)</f>
        <v>12</v>
      </c>
      <c r="F8" s="4" t="n">
        <f aca="false">COUNTIFS(MASTER!$B:$B,$A8,MASTER!$H:$H,F$4)</f>
        <v>0</v>
      </c>
      <c r="G8" s="4" t="n">
        <f aca="false">COUNTIFS(MASTER!$B:$B,$A8,MASTER!$H:$H,G$4)</f>
        <v>0</v>
      </c>
      <c r="H8" s="4" t="n">
        <f aca="false">COUNTIFS(MASTER!$B:$B,$A8,MASTER!$H:$H,H$4)</f>
        <v>5</v>
      </c>
      <c r="I8" s="4" t="n">
        <f aca="false">COUNTIFS(MASTER!$B:$B,$A8,MASTER!$H:$H,I$4)</f>
        <v>1</v>
      </c>
      <c r="J8" s="4" t="n">
        <f aca="false">C8+D8+E8+F8</f>
        <v>50</v>
      </c>
      <c r="K8" s="5" t="n">
        <f aca="false">IF(J8=0,0,C8/J8)</f>
        <v>0.26</v>
      </c>
      <c r="L8" s="5" t="n">
        <f aca="false">IF(J8=0,0,(C8+D8)/J8)</f>
        <v>0.76</v>
      </c>
    </row>
    <row r="9" customFormat="false" ht="15" hidden="false" customHeight="false" outlineLevel="0" collapsed="false">
      <c r="A9" s="4" t="s">
        <v>18</v>
      </c>
      <c r="B9" s="4" t="n">
        <f aca="false">COUNTIFS(MASTER!$B:$B,$A9)</f>
        <v>40</v>
      </c>
      <c r="C9" s="4" t="n">
        <f aca="false">COUNTIFS(MASTER!$B:$B,$A9,MASTER!$H:$H,C$4)</f>
        <v>26</v>
      </c>
      <c r="D9" s="4" t="n">
        <f aca="false">COUNTIFS(MASTER!$B:$B,$A9,MASTER!$H:$H,D$4)</f>
        <v>13</v>
      </c>
      <c r="E9" s="4" t="n">
        <f aca="false">COUNTIFS(MASTER!$B:$B,$A9,MASTER!$H:$H,E$4)</f>
        <v>0</v>
      </c>
      <c r="F9" s="4" t="n">
        <f aca="false">COUNTIFS(MASTER!$B:$B,$A9,MASTER!$H:$H,F$4)</f>
        <v>0</v>
      </c>
      <c r="G9" s="4" t="n">
        <f aca="false">COUNTIFS(MASTER!$B:$B,$A9,MASTER!$H:$H,G$4)</f>
        <v>1</v>
      </c>
      <c r="H9" s="4" t="n">
        <f aca="false">COUNTIFS(MASTER!$B:$B,$A9,MASTER!$H:$H,H$4)</f>
        <v>0</v>
      </c>
      <c r="I9" s="4" t="n">
        <f aca="false">COUNTIFS(MASTER!$B:$B,$A9,MASTER!$H:$H,I$4)</f>
        <v>0</v>
      </c>
      <c r="J9" s="4" t="n">
        <f aca="false">C9+D9+E9+F9</f>
        <v>39</v>
      </c>
      <c r="K9" s="5" t="n">
        <f aca="false">IF(J9=0,0,C9/J9)</f>
        <v>0.666666666666667</v>
      </c>
      <c r="L9" s="5" t="n">
        <f aca="false">IF(J9=0,0,(C9+D9)/J9)</f>
        <v>1</v>
      </c>
    </row>
    <row r="10" customFormat="false" ht="15" hidden="false" customHeight="false" outlineLevel="0" collapsed="false">
      <c r="A10" s="4" t="s">
        <v>19</v>
      </c>
      <c r="B10" s="4" t="n">
        <f aca="false">COUNTIFS(MASTER!$B:$B,$A10)</f>
        <v>21</v>
      </c>
      <c r="C10" s="4" t="n">
        <f aca="false">COUNTIFS(MASTER!$B:$B,$A10,MASTER!$H:$H,C$4)</f>
        <v>13</v>
      </c>
      <c r="D10" s="4" t="n">
        <f aca="false">COUNTIFS(MASTER!$B:$B,$A10,MASTER!$H:$H,D$4)</f>
        <v>0</v>
      </c>
      <c r="E10" s="4" t="n">
        <f aca="false">COUNTIFS(MASTER!$B:$B,$A10,MASTER!$H:$H,E$4)</f>
        <v>2</v>
      </c>
      <c r="F10" s="4" t="n">
        <f aca="false">COUNTIFS(MASTER!$B:$B,$A10,MASTER!$H:$H,F$4)</f>
        <v>0</v>
      </c>
      <c r="G10" s="4" t="n">
        <f aca="false">COUNTIFS(MASTER!$B:$B,$A10,MASTER!$H:$H,G$4)</f>
        <v>0</v>
      </c>
      <c r="H10" s="4" t="n">
        <f aca="false">COUNTIFS(MASTER!$B:$B,$A10,MASTER!$H:$H,H$4)</f>
        <v>6</v>
      </c>
      <c r="I10" s="4" t="n">
        <f aca="false">COUNTIFS(MASTER!$B:$B,$A10,MASTER!$H:$H,I$4)</f>
        <v>0</v>
      </c>
      <c r="J10" s="4" t="n">
        <f aca="false">C10+D10+E10+F10</f>
        <v>15</v>
      </c>
      <c r="K10" s="5" t="n">
        <f aca="false">IF(J10=0,0,C10/J10)</f>
        <v>0.866666666666667</v>
      </c>
      <c r="L10" s="5" t="n">
        <f aca="false">IF(J10=0,0,(C10+D10)/J10)</f>
        <v>0.866666666666667</v>
      </c>
    </row>
    <row r="11" customFormat="false" ht="15" hidden="false" customHeight="false" outlineLevel="0" collapsed="false">
      <c r="A11" s="4" t="s">
        <v>20</v>
      </c>
      <c r="B11" s="4" t="n">
        <f aca="false">COUNTIFS(MASTER!$B:$B,$A11)</f>
        <v>42</v>
      </c>
      <c r="C11" s="4" t="n">
        <f aca="false">COUNTIFS(MASTER!$B:$B,$A11,MASTER!$H:$H,C$4)</f>
        <v>31</v>
      </c>
      <c r="D11" s="4" t="n">
        <f aca="false">COUNTIFS(MASTER!$B:$B,$A11,MASTER!$H:$H,D$4)</f>
        <v>0</v>
      </c>
      <c r="E11" s="4" t="n">
        <f aca="false">COUNTIFS(MASTER!$B:$B,$A11,MASTER!$H:$H,E$4)</f>
        <v>5</v>
      </c>
      <c r="F11" s="4" t="n">
        <f aca="false">COUNTIFS(MASTER!$B:$B,$A11,MASTER!$H:$H,F$4)</f>
        <v>0</v>
      </c>
      <c r="G11" s="4" t="n">
        <f aca="false">COUNTIFS(MASTER!$B:$B,$A11,MASTER!$H:$H,G$4)</f>
        <v>0</v>
      </c>
      <c r="H11" s="4" t="n">
        <f aca="false">COUNTIFS(MASTER!$B:$B,$A11,MASTER!$H:$H,H$4)</f>
        <v>6</v>
      </c>
      <c r="I11" s="4" t="n">
        <f aca="false">COUNTIFS(MASTER!$B:$B,$A11,MASTER!$H:$H,I$4)</f>
        <v>0</v>
      </c>
      <c r="J11" s="4" t="n">
        <f aca="false">C11+D11+E11+F11</f>
        <v>36</v>
      </c>
      <c r="K11" s="5" t="n">
        <f aca="false">IF(J11=0,0,C11/J11)</f>
        <v>0.861111111111111</v>
      </c>
      <c r="L11" s="5" t="n">
        <f aca="false">IF(J11=0,0,(C11+D11)/J11)</f>
        <v>0.861111111111111</v>
      </c>
    </row>
    <row r="12" customFormat="false" ht="15" hidden="false" customHeight="false" outlineLevel="0" collapsed="false">
      <c r="A12" s="4" t="s">
        <v>21</v>
      </c>
      <c r="B12" s="4" t="n">
        <f aca="false">COUNTIFS(MASTER!$B:$B,$A12)</f>
        <v>16</v>
      </c>
      <c r="C12" s="4" t="n">
        <f aca="false">COUNTIFS(MASTER!$B:$B,$A12,MASTER!$H:$H,C$4)</f>
        <v>14</v>
      </c>
      <c r="D12" s="4" t="n">
        <f aca="false">COUNTIFS(MASTER!$B:$B,$A12,MASTER!$H:$H,D$4)</f>
        <v>0</v>
      </c>
      <c r="E12" s="4" t="n">
        <f aca="false">COUNTIFS(MASTER!$B:$B,$A12,MASTER!$H:$H,E$4)</f>
        <v>0</v>
      </c>
      <c r="F12" s="4" t="n">
        <f aca="false">COUNTIFS(MASTER!$B:$B,$A12,MASTER!$H:$H,F$4)</f>
        <v>0</v>
      </c>
      <c r="G12" s="4" t="n">
        <f aca="false">COUNTIFS(MASTER!$B:$B,$A12,MASTER!$H:$H,G$4)</f>
        <v>0</v>
      </c>
      <c r="H12" s="4" t="n">
        <f aca="false">COUNTIFS(MASTER!$B:$B,$A12,MASTER!$H:$H,H$4)</f>
        <v>2</v>
      </c>
      <c r="I12" s="4" t="n">
        <f aca="false">COUNTIFS(MASTER!$B:$B,$A12,MASTER!$H:$H,I$4)</f>
        <v>0</v>
      </c>
      <c r="J12" s="4" t="n">
        <f aca="false">C12+D12+E12+F12</f>
        <v>14</v>
      </c>
      <c r="K12" s="5" t="n">
        <f aca="false">IF(J12=0,0,C12/J12)</f>
        <v>1</v>
      </c>
      <c r="L12" s="5" t="n">
        <f aca="false">IF(J12=0,0,(C12+D12)/J12)</f>
        <v>1</v>
      </c>
    </row>
    <row r="13" customFormat="false" ht="15" hidden="false" customHeight="false" outlineLevel="0" collapsed="false">
      <c r="A13" s="4" t="s">
        <v>22</v>
      </c>
      <c r="B13" s="4" t="n">
        <f aca="false">COUNTIFS(MASTER!$B:$B,$A13)</f>
        <v>2</v>
      </c>
      <c r="C13" s="4" t="n">
        <f aca="false">COUNTIFS(MASTER!$B:$B,$A13,MASTER!$H:$H,C$4)</f>
        <v>1</v>
      </c>
      <c r="D13" s="4" t="n">
        <f aca="false">COUNTIFS(MASTER!$B:$B,$A13,MASTER!$H:$H,D$4)</f>
        <v>0</v>
      </c>
      <c r="E13" s="4" t="n">
        <f aca="false">COUNTIFS(MASTER!$B:$B,$A13,MASTER!$H:$H,E$4)</f>
        <v>1</v>
      </c>
      <c r="F13" s="4" t="n">
        <f aca="false">COUNTIFS(MASTER!$B:$B,$A13,MASTER!$H:$H,F$4)</f>
        <v>0</v>
      </c>
      <c r="G13" s="4" t="n">
        <f aca="false">COUNTIFS(MASTER!$B:$B,$A13,MASTER!$H:$H,G$4)</f>
        <v>0</v>
      </c>
      <c r="H13" s="4" t="n">
        <f aca="false">COUNTIFS(MASTER!$B:$B,$A13,MASTER!$H:$H,H$4)</f>
        <v>0</v>
      </c>
      <c r="I13" s="4" t="n">
        <f aca="false">COUNTIFS(MASTER!$B:$B,$A13,MASTER!$H:$H,I$4)</f>
        <v>0</v>
      </c>
      <c r="J13" s="4" t="n">
        <f aca="false">C13+D13+E13+F13</f>
        <v>2</v>
      </c>
      <c r="K13" s="5" t="n">
        <f aca="false">IF(J13=0,0,C13/J13)</f>
        <v>0.5</v>
      </c>
      <c r="L13" s="5" t="n">
        <f aca="false">IF(J13=0,0,(C13+D13)/J13)</f>
        <v>0.5</v>
      </c>
    </row>
    <row r="14" customFormat="false" ht="15" hidden="false" customHeight="false" outlineLevel="0" collapsed="false">
      <c r="A14" s="6" t="s">
        <v>23</v>
      </c>
      <c r="B14" s="6" t="n">
        <f aca="false">SUM(B5:B13)</f>
        <v>937</v>
      </c>
      <c r="C14" s="6" t="n">
        <f aca="false">SUM(C5:C13)</f>
        <v>410</v>
      </c>
      <c r="D14" s="6" t="n">
        <f aca="false">SUM(D5:D13)</f>
        <v>119</v>
      </c>
      <c r="E14" s="6" t="n">
        <f aca="false">SUM(E5:E13)</f>
        <v>32</v>
      </c>
      <c r="F14" s="6" t="n">
        <f aca="false">SUM(F5:F13)</f>
        <v>0</v>
      </c>
      <c r="G14" s="6" t="n">
        <f aca="false">SUM(G5:G13)</f>
        <v>94</v>
      </c>
      <c r="H14" s="6" t="n">
        <f aca="false">SUM(H5:H13)</f>
        <v>164</v>
      </c>
      <c r="I14" s="6" t="n">
        <f aca="false">SUM(I5:I13)</f>
        <v>118</v>
      </c>
      <c r="J14" s="6" t="n">
        <f aca="false">SUM(J5:J13)</f>
        <v>561</v>
      </c>
      <c r="K14" s="7" t="n">
        <f aca="false">IF(J14=0,0,C14/J14)</f>
        <v>0.730837789661319</v>
      </c>
      <c r="L14" s="7" t="n">
        <f aca="false">IF(J14=0,0,(C14+D14)/J14)</f>
        <v>0.942959001782531</v>
      </c>
    </row>
    <row r="17" customFormat="false" ht="15" hidden="false" customHeight="false" outlineLevel="0" collapsed="false">
      <c r="A17" s="8" t="s">
        <v>24</v>
      </c>
    </row>
    <row r="19" customFormat="false" ht="15" hidden="false" customHeight="false" outlineLevel="0" collapsed="false">
      <c r="A19" s="9" t="s">
        <v>2</v>
      </c>
      <c r="B19" s="9" t="s">
        <v>25</v>
      </c>
      <c r="C19" s="9" t="s">
        <v>26</v>
      </c>
      <c r="D19" s="9" t="s">
        <v>27</v>
      </c>
      <c r="E19" s="9" t="s">
        <v>28</v>
      </c>
      <c r="F19" s="9"/>
      <c r="G19" s="9"/>
      <c r="H19" s="9"/>
      <c r="I19" s="9"/>
      <c r="J19" s="9"/>
      <c r="K19" s="9"/>
      <c r="L19" s="9"/>
    </row>
    <row r="20" customFormat="false" ht="15" hidden="false" customHeight="false" outlineLevel="0" collapsed="false">
      <c r="A20" s="4" t="s">
        <v>14</v>
      </c>
      <c r="B20" s="4" t="n">
        <f aca="false">COUNTIFS(MASTER!$B:$B,$A20,MASTER!$O:$O,B$19)</f>
        <v>31</v>
      </c>
      <c r="C20" s="4" t="n">
        <f aca="false">COUNTIFS(MASTER!$B:$B,$A20,MASTER!$O:$O,C$19)</f>
        <v>0</v>
      </c>
      <c r="D20" s="4" t="n">
        <f aca="false">COUNTIFS(MASTER!$B:$B,$A20,MASTER!$O:$O,D$19)</f>
        <v>225</v>
      </c>
      <c r="E20" s="4" t="n">
        <f aca="false">COUNTIFS(MASTER!$B:$B,$A20,MASTER!$O:$O,E$19)</f>
        <v>208</v>
      </c>
      <c r="F20" s="4"/>
      <c r="G20" s="4"/>
      <c r="H20" s="4"/>
      <c r="I20" s="4"/>
      <c r="J20" s="4"/>
      <c r="K20" s="4"/>
      <c r="L20" s="4"/>
    </row>
    <row r="21" customFormat="false" ht="15" hidden="false" customHeight="false" outlineLevel="0" collapsed="false">
      <c r="A21" s="4" t="s">
        <v>15</v>
      </c>
      <c r="B21" s="4" t="n">
        <f aca="false">COUNTIFS(MASTER!$B:$B,$A21,MASTER!$O:$O,B$19)</f>
        <v>11</v>
      </c>
      <c r="C21" s="4" t="n">
        <f aca="false">COUNTIFS(MASTER!$B:$B,$A21,MASTER!$O:$O,C$19)</f>
        <v>0</v>
      </c>
      <c r="D21" s="4" t="n">
        <f aca="false">COUNTIFS(MASTER!$B:$B,$A21,MASTER!$O:$O,D$19)</f>
        <v>39</v>
      </c>
      <c r="E21" s="4" t="n">
        <f aca="false">COUNTIFS(MASTER!$B:$B,$A21,MASTER!$O:$O,E$19)</f>
        <v>146</v>
      </c>
      <c r="F21" s="4"/>
      <c r="G21" s="4"/>
      <c r="H21" s="4"/>
      <c r="I21" s="4"/>
      <c r="J21" s="4"/>
      <c r="K21" s="4"/>
      <c r="L21" s="4"/>
    </row>
    <row r="22" customFormat="false" ht="15" hidden="false" customHeight="false" outlineLevel="0" collapsed="false">
      <c r="A22" s="4" t="s">
        <v>16</v>
      </c>
      <c r="B22" s="4" t="n">
        <f aca="false">COUNTIFS(MASTER!$B:$B,$A22,MASTER!$O:$O,B$19)</f>
        <v>20</v>
      </c>
      <c r="C22" s="4" t="n">
        <f aca="false">COUNTIFS(MASTER!$B:$B,$A22,MASTER!$O:$O,C$19)</f>
        <v>31</v>
      </c>
      <c r="D22" s="4" t="n">
        <f aca="false">COUNTIFS(MASTER!$B:$B,$A22,MASTER!$O:$O,D$19)</f>
        <v>48</v>
      </c>
      <c r="E22" s="4" t="n">
        <f aca="false">COUNTIFS(MASTER!$B:$B,$A22,MASTER!$O:$O,E$19)</f>
        <v>1</v>
      </c>
      <c r="F22" s="4"/>
      <c r="G22" s="4"/>
      <c r="H22" s="4"/>
      <c r="I22" s="4"/>
      <c r="J22" s="4"/>
      <c r="K22" s="4"/>
      <c r="L22" s="4"/>
    </row>
    <row r="23" customFormat="false" ht="15" hidden="false" customHeight="false" outlineLevel="0" collapsed="false">
      <c r="A23" s="4" t="s">
        <v>17</v>
      </c>
      <c r="B23" s="4" t="n">
        <f aca="false">COUNTIFS(MASTER!$B:$B,$A23,MASTER!$O:$O,B$19)</f>
        <v>36</v>
      </c>
      <c r="C23" s="4" t="n">
        <f aca="false">COUNTIFS(MASTER!$B:$B,$A23,MASTER!$O:$O,C$19)</f>
        <v>1</v>
      </c>
      <c r="D23" s="4" t="n">
        <f aca="false">COUNTIFS(MASTER!$B:$B,$A23,MASTER!$O:$O,D$19)</f>
        <v>13</v>
      </c>
      <c r="E23" s="4" t="n">
        <f aca="false">COUNTIFS(MASTER!$B:$B,$A23,MASTER!$O:$O,E$19)</f>
        <v>6</v>
      </c>
      <c r="F23" s="4"/>
      <c r="G23" s="4"/>
      <c r="H23" s="4"/>
      <c r="I23" s="4"/>
      <c r="J23" s="4"/>
      <c r="K23" s="4"/>
      <c r="L23" s="4"/>
    </row>
    <row r="24" customFormat="false" ht="15" hidden="false" customHeight="false" outlineLevel="0" collapsed="false">
      <c r="A24" s="4" t="s">
        <v>18</v>
      </c>
      <c r="B24" s="4" t="n">
        <f aca="false">COUNTIFS(MASTER!$B:$B,$A24,MASTER!$O:$O,B$19)</f>
        <v>13</v>
      </c>
      <c r="C24" s="4" t="n">
        <f aca="false">COUNTIFS(MASTER!$B:$B,$A24,MASTER!$O:$O,C$19)</f>
        <v>0</v>
      </c>
      <c r="D24" s="4" t="n">
        <f aca="false">COUNTIFS(MASTER!$B:$B,$A24,MASTER!$O:$O,D$19)</f>
        <v>26</v>
      </c>
      <c r="E24" s="4" t="n">
        <f aca="false">COUNTIFS(MASTER!$B:$B,$A24,MASTER!$O:$O,E$19)</f>
        <v>1</v>
      </c>
      <c r="F24" s="4"/>
      <c r="G24" s="4"/>
      <c r="H24" s="4"/>
      <c r="I24" s="4"/>
      <c r="J24" s="4"/>
      <c r="K24" s="4"/>
      <c r="L24" s="4"/>
    </row>
    <row r="25" customFormat="false" ht="15" hidden="false" customHeight="false" outlineLevel="0" collapsed="false">
      <c r="A25" s="4" t="s">
        <v>19</v>
      </c>
      <c r="B25" s="4" t="n">
        <f aca="false">COUNTIFS(MASTER!$B:$B,$A25,MASTER!$O:$O,B$19)</f>
        <v>0</v>
      </c>
      <c r="C25" s="4" t="n">
        <f aca="false">COUNTIFS(MASTER!$B:$B,$A25,MASTER!$O:$O,C$19)</f>
        <v>2</v>
      </c>
      <c r="D25" s="4" t="n">
        <f aca="false">COUNTIFS(MASTER!$B:$B,$A25,MASTER!$O:$O,D$19)</f>
        <v>13</v>
      </c>
      <c r="E25" s="4" t="n">
        <f aca="false">COUNTIFS(MASTER!$B:$B,$A25,MASTER!$O:$O,E$19)</f>
        <v>6</v>
      </c>
      <c r="F25" s="4"/>
      <c r="G25" s="4"/>
      <c r="H25" s="4"/>
      <c r="I25" s="4"/>
      <c r="J25" s="4"/>
      <c r="K25" s="4"/>
      <c r="L25" s="4"/>
    </row>
    <row r="26" customFormat="false" ht="15" hidden="false" customHeight="false" outlineLevel="0" collapsed="false">
      <c r="A26" s="4" t="s">
        <v>20</v>
      </c>
      <c r="B26" s="4" t="n">
        <f aca="false">COUNTIFS(MASTER!$B:$B,$A26,MASTER!$O:$O,B$19)</f>
        <v>5</v>
      </c>
      <c r="C26" s="4" t="n">
        <f aca="false">COUNTIFS(MASTER!$B:$B,$A26,MASTER!$O:$O,C$19)</f>
        <v>0</v>
      </c>
      <c r="D26" s="4" t="n">
        <f aca="false">COUNTIFS(MASTER!$B:$B,$A26,MASTER!$O:$O,D$19)</f>
        <v>31</v>
      </c>
      <c r="E26" s="4" t="n">
        <f aca="false">COUNTIFS(MASTER!$B:$B,$A26,MASTER!$O:$O,E$19)</f>
        <v>6</v>
      </c>
      <c r="F26" s="4"/>
      <c r="G26" s="4"/>
      <c r="H26" s="4"/>
      <c r="I26" s="4"/>
      <c r="J26" s="4"/>
      <c r="K26" s="4"/>
      <c r="L26" s="4"/>
    </row>
    <row r="27" customFormat="false" ht="15" hidden="false" customHeight="false" outlineLevel="0" collapsed="false">
      <c r="A27" s="4" t="s">
        <v>21</v>
      </c>
      <c r="B27" s="4" t="n">
        <f aca="false">COUNTIFS(MASTER!$B:$B,$A27,MASTER!$O:$O,B$19)</f>
        <v>0</v>
      </c>
      <c r="C27" s="4" t="n">
        <f aca="false">COUNTIFS(MASTER!$B:$B,$A27,MASTER!$O:$O,C$19)</f>
        <v>0</v>
      </c>
      <c r="D27" s="4" t="n">
        <f aca="false">COUNTIFS(MASTER!$B:$B,$A27,MASTER!$O:$O,D$19)</f>
        <v>14</v>
      </c>
      <c r="E27" s="4" t="n">
        <f aca="false">COUNTIFS(MASTER!$B:$B,$A27,MASTER!$O:$O,E$19)</f>
        <v>2</v>
      </c>
      <c r="F27" s="4"/>
      <c r="G27" s="4"/>
      <c r="H27" s="4"/>
      <c r="I27" s="4"/>
      <c r="J27" s="4"/>
      <c r="K27" s="4"/>
      <c r="L27" s="4"/>
    </row>
    <row r="28" customFormat="false" ht="15" hidden="false" customHeight="false" outlineLevel="0" collapsed="false">
      <c r="A28" s="4" t="s">
        <v>22</v>
      </c>
      <c r="B28" s="4" t="n">
        <f aca="false">COUNTIFS(MASTER!$B:$B,$A28,MASTER!$O:$O,B$19)</f>
        <v>0</v>
      </c>
      <c r="C28" s="4" t="n">
        <f aca="false">COUNTIFS(MASTER!$B:$B,$A28,MASTER!$O:$O,C$19)</f>
        <v>1</v>
      </c>
      <c r="D28" s="4" t="n">
        <f aca="false">COUNTIFS(MASTER!$B:$B,$A28,MASTER!$O:$O,D$19)</f>
        <v>1</v>
      </c>
      <c r="E28" s="4" t="n">
        <f aca="false">COUNTIFS(MASTER!$B:$B,$A28,MASTER!$O:$O,E$19)</f>
        <v>0</v>
      </c>
      <c r="F28" s="4"/>
      <c r="G28" s="4"/>
      <c r="H28" s="4"/>
      <c r="I28" s="4"/>
      <c r="J28" s="4"/>
      <c r="K28" s="4"/>
      <c r="L28" s="4"/>
    </row>
    <row r="29" customFormat="false" ht="15" hidden="false" customHeight="false" outlineLevel="0" collapsed="false">
      <c r="A29" s="6" t="s">
        <v>23</v>
      </c>
      <c r="B29" s="6" t="n">
        <f aca="false">SUM(B20:B28)</f>
        <v>116</v>
      </c>
      <c r="C29" s="6" t="n">
        <f aca="false">SUM(C20:C28)</f>
        <v>35</v>
      </c>
      <c r="D29" s="6" t="n">
        <f aca="false">SUM(D20:D28)</f>
        <v>410</v>
      </c>
      <c r="E29" s="6" t="n">
        <f aca="false">SUM(E20:E28)</f>
        <v>376</v>
      </c>
      <c r="F29" s="6"/>
      <c r="G29" s="6"/>
      <c r="H29" s="6"/>
      <c r="I29" s="6"/>
      <c r="J29" s="6"/>
      <c r="K29" s="6"/>
      <c r="L2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7"/>
    <col collapsed="false" customWidth="true" hidden="false" outlineLevel="0" max="3" min="3" style="0" width="22"/>
    <col collapsed="false" customWidth="true" hidden="false" outlineLevel="0" max="4" min="4" style="0" width="34"/>
    <col collapsed="false" customWidth="true" hidden="false" outlineLevel="0" max="5" min="5" style="0" width="48"/>
    <col collapsed="false" customWidth="true" hidden="false" outlineLevel="0" max="6" min="6" style="0" width="52"/>
    <col collapsed="false" customWidth="true" hidden="false" outlineLevel="0" max="7" min="7" style="0" width="20"/>
    <col collapsed="false" customWidth="true" hidden="false" outlineLevel="0" max="8" min="8" style="0" width="18"/>
    <col collapsed="false" customWidth="true" hidden="false" outlineLevel="0" max="9" min="9" style="0" width="9"/>
    <col collapsed="false" customWidth="true" hidden="false" outlineLevel="0" max="10" min="10" style="0" width="26"/>
    <col collapsed="false" customWidth="true" hidden="false" outlineLevel="0" max="11" min="11" style="0" width="40"/>
    <col collapsed="false" customWidth="true" hidden="false" outlineLevel="0" max="12" min="12" style="0" width="44"/>
    <col collapsed="false" customWidth="true" hidden="false" outlineLevel="0" max="13" min="13" style="0" width="9"/>
    <col collapsed="false" customWidth="true" hidden="false" outlineLevel="0" max="14" min="14" style="0" width="40"/>
    <col collapsed="false" customWidth="true" hidden="false" outlineLevel="0" max="15" min="15" style="0" width="16"/>
    <col collapsed="false" customWidth="true" hidden="false" outlineLevel="0" max="16" min="16" style="0" width="12"/>
    <col collapsed="false" customWidth="true" hidden="false" outlineLevel="0" max="17" min="17" style="0" width="40"/>
  </cols>
  <sheetData>
    <row r="1" customFormat="false" ht="31.5" hidden="false" customHeight="true" outlineLevel="0" collapsed="false">
      <c r="A1" s="10" t="s">
        <v>29</v>
      </c>
      <c r="B1" s="10" t="s">
        <v>2</v>
      </c>
      <c r="C1" s="10" t="s">
        <v>30</v>
      </c>
      <c r="D1" s="10" t="s">
        <v>31</v>
      </c>
      <c r="E1" s="10" t="s">
        <v>32</v>
      </c>
      <c r="F1" s="10" t="s">
        <v>33</v>
      </c>
      <c r="G1" s="10" t="s">
        <v>34</v>
      </c>
      <c r="H1" s="10" t="s">
        <v>35</v>
      </c>
      <c r="I1" s="10" t="s">
        <v>36</v>
      </c>
      <c r="J1" s="10" t="s">
        <v>37</v>
      </c>
      <c r="K1" s="10" t="s">
        <v>38</v>
      </c>
      <c r="L1" s="10" t="s">
        <v>39</v>
      </c>
      <c r="M1" s="10" t="s">
        <v>40</v>
      </c>
      <c r="N1" s="10" t="s">
        <v>41</v>
      </c>
      <c r="O1" s="10" t="s">
        <v>42</v>
      </c>
      <c r="P1" s="10" t="s">
        <v>43</v>
      </c>
      <c r="Q1" s="10" t="s">
        <v>44</v>
      </c>
    </row>
    <row r="2" customFormat="false" ht="15" hidden="false" customHeight="false" outlineLevel="0" collapsed="false">
      <c r="A2" s="11" t="s">
        <v>45</v>
      </c>
      <c r="B2" s="11" t="s">
        <v>14</v>
      </c>
      <c r="C2" s="11" t="s">
        <v>46</v>
      </c>
      <c r="D2" s="12" t="s">
        <v>47</v>
      </c>
      <c r="E2" s="12" t="s">
        <v>47</v>
      </c>
      <c r="F2" s="12" t="s">
        <v>47</v>
      </c>
      <c r="G2" s="11" t="s">
        <v>48</v>
      </c>
      <c r="H2" s="11" t="s">
        <v>9</v>
      </c>
      <c r="I2" s="13"/>
      <c r="J2" s="11" t="s">
        <v>49</v>
      </c>
      <c r="K2" s="12"/>
      <c r="L2" s="12"/>
      <c r="M2" s="11" t="s">
        <v>50</v>
      </c>
      <c r="N2" s="12" t="s">
        <v>51</v>
      </c>
      <c r="O2" s="11" t="s">
        <v>28</v>
      </c>
      <c r="P2" s="11" t="s">
        <v>52</v>
      </c>
      <c r="Q2" s="12" t="s">
        <v>53</v>
      </c>
    </row>
    <row r="3" customFormat="false" ht="22.35" hidden="false" customHeight="false" outlineLevel="0" collapsed="false">
      <c r="A3" s="11" t="s">
        <v>54</v>
      </c>
      <c r="B3" s="11" t="s">
        <v>14</v>
      </c>
      <c r="C3" s="11" t="s">
        <v>55</v>
      </c>
      <c r="D3" s="12" t="s">
        <v>56</v>
      </c>
      <c r="E3" s="12" t="s">
        <v>57</v>
      </c>
      <c r="F3" s="12" t="s">
        <v>58</v>
      </c>
      <c r="G3" s="11" t="s">
        <v>59</v>
      </c>
      <c r="H3" s="11" t="s">
        <v>9</v>
      </c>
      <c r="I3" s="13"/>
      <c r="J3" s="11" t="s">
        <v>49</v>
      </c>
      <c r="K3" s="12"/>
      <c r="L3" s="12"/>
      <c r="M3" s="11" t="s">
        <v>50</v>
      </c>
      <c r="N3" s="12" t="s">
        <v>51</v>
      </c>
      <c r="O3" s="11" t="s">
        <v>28</v>
      </c>
      <c r="P3" s="11" t="s">
        <v>52</v>
      </c>
      <c r="Q3" s="12" t="s">
        <v>60</v>
      </c>
    </row>
    <row r="4" customFormat="false" ht="15" hidden="false" customHeight="false" outlineLevel="0" collapsed="false">
      <c r="A4" s="11" t="s">
        <v>61</v>
      </c>
      <c r="B4" s="11" t="s">
        <v>14</v>
      </c>
      <c r="C4" s="11" t="s">
        <v>46</v>
      </c>
      <c r="D4" s="12" t="s">
        <v>62</v>
      </c>
      <c r="E4" s="12" t="s">
        <v>62</v>
      </c>
      <c r="F4" s="12" t="s">
        <v>62</v>
      </c>
      <c r="G4" s="11" t="s">
        <v>48</v>
      </c>
      <c r="H4" s="11" t="s">
        <v>9</v>
      </c>
      <c r="I4" s="13"/>
      <c r="J4" s="11" t="s">
        <v>49</v>
      </c>
      <c r="K4" s="12"/>
      <c r="L4" s="12"/>
      <c r="M4" s="11" t="s">
        <v>50</v>
      </c>
      <c r="N4" s="12" t="s">
        <v>51</v>
      </c>
      <c r="O4" s="11" t="s">
        <v>28</v>
      </c>
      <c r="P4" s="11" t="s">
        <v>52</v>
      </c>
      <c r="Q4" s="12" t="s">
        <v>53</v>
      </c>
    </row>
    <row r="5" customFormat="false" ht="22.35" hidden="false" customHeight="false" outlineLevel="0" collapsed="false">
      <c r="A5" s="11" t="s">
        <v>63</v>
      </c>
      <c r="B5" s="11" t="s">
        <v>14</v>
      </c>
      <c r="C5" s="11" t="s">
        <v>46</v>
      </c>
      <c r="D5" s="12" t="s">
        <v>64</v>
      </c>
      <c r="E5" s="12" t="s">
        <v>64</v>
      </c>
      <c r="F5" s="12" t="s">
        <v>65</v>
      </c>
      <c r="G5" s="11" t="s">
        <v>59</v>
      </c>
      <c r="H5" s="11" t="s">
        <v>4</v>
      </c>
      <c r="I5" s="13" t="n">
        <v>1</v>
      </c>
      <c r="J5" s="11" t="s">
        <v>49</v>
      </c>
      <c r="K5" s="12" t="s">
        <v>66</v>
      </c>
      <c r="L5" s="12"/>
      <c r="M5" s="11" t="s">
        <v>50</v>
      </c>
      <c r="N5" s="12" t="s">
        <v>51</v>
      </c>
      <c r="O5" s="11" t="s">
        <v>27</v>
      </c>
      <c r="P5" s="11" t="s">
        <v>52</v>
      </c>
      <c r="Q5" s="12"/>
    </row>
    <row r="6" customFormat="false" ht="15" hidden="false" customHeight="false" outlineLevel="0" collapsed="false">
      <c r="A6" s="11" t="s">
        <v>67</v>
      </c>
      <c r="B6" s="11" t="s">
        <v>14</v>
      </c>
      <c r="C6" s="11" t="s">
        <v>68</v>
      </c>
      <c r="D6" s="12" t="s">
        <v>69</v>
      </c>
      <c r="E6" s="12" t="s">
        <v>70</v>
      </c>
      <c r="F6" s="12" t="s">
        <v>71</v>
      </c>
      <c r="G6" s="11" t="s">
        <v>72</v>
      </c>
      <c r="H6" s="11" t="s">
        <v>9</v>
      </c>
      <c r="I6" s="13"/>
      <c r="J6" s="11" t="s">
        <v>49</v>
      </c>
      <c r="K6" s="12"/>
      <c r="L6" s="12"/>
      <c r="M6" s="11" t="s">
        <v>50</v>
      </c>
      <c r="N6" s="12" t="s">
        <v>51</v>
      </c>
      <c r="O6" s="11" t="s">
        <v>28</v>
      </c>
      <c r="P6" s="11" t="s">
        <v>52</v>
      </c>
      <c r="Q6" s="12" t="s">
        <v>60</v>
      </c>
    </row>
    <row r="7" customFormat="false" ht="22.35" hidden="false" customHeight="false" outlineLevel="0" collapsed="false">
      <c r="A7" s="11" t="s">
        <v>73</v>
      </c>
      <c r="B7" s="11" t="s">
        <v>14</v>
      </c>
      <c r="C7" s="11" t="s">
        <v>68</v>
      </c>
      <c r="D7" s="12" t="s">
        <v>74</v>
      </c>
      <c r="E7" s="12" t="s">
        <v>75</v>
      </c>
      <c r="F7" s="12" t="s">
        <v>76</v>
      </c>
      <c r="G7" s="11" t="s">
        <v>72</v>
      </c>
      <c r="H7" s="11" t="s">
        <v>4</v>
      </c>
      <c r="I7" s="13" t="n">
        <v>0.846153846153846</v>
      </c>
      <c r="J7" s="11" t="s">
        <v>49</v>
      </c>
      <c r="K7" s="12" t="s">
        <v>77</v>
      </c>
      <c r="L7" s="12" t="s">
        <v>78</v>
      </c>
      <c r="M7" s="11" t="s">
        <v>50</v>
      </c>
      <c r="N7" s="12" t="s">
        <v>51</v>
      </c>
      <c r="O7" s="11" t="s">
        <v>27</v>
      </c>
      <c r="P7" s="11" t="s">
        <v>52</v>
      </c>
      <c r="Q7" s="12"/>
    </row>
    <row r="8" customFormat="false" ht="22.35" hidden="false" customHeight="false" outlineLevel="0" collapsed="false">
      <c r="A8" s="11" t="s">
        <v>79</v>
      </c>
      <c r="B8" s="11" t="s">
        <v>14</v>
      </c>
      <c r="C8" s="11" t="s">
        <v>68</v>
      </c>
      <c r="D8" s="12" t="s">
        <v>80</v>
      </c>
      <c r="E8" s="12" t="s">
        <v>81</v>
      </c>
      <c r="F8" s="12" t="s">
        <v>82</v>
      </c>
      <c r="G8" s="11" t="s">
        <v>72</v>
      </c>
      <c r="H8" s="11" t="s">
        <v>4</v>
      </c>
      <c r="I8" s="13" t="n">
        <v>1</v>
      </c>
      <c r="J8" s="11" t="s">
        <v>49</v>
      </c>
      <c r="K8" s="12" t="s">
        <v>83</v>
      </c>
      <c r="L8" s="12"/>
      <c r="M8" s="11" t="s">
        <v>50</v>
      </c>
      <c r="N8" s="12" t="s">
        <v>51</v>
      </c>
      <c r="O8" s="11" t="s">
        <v>27</v>
      </c>
      <c r="P8" s="11" t="s">
        <v>52</v>
      </c>
      <c r="Q8" s="12"/>
    </row>
    <row r="9" customFormat="false" ht="22.35" hidden="false" customHeight="false" outlineLevel="0" collapsed="false">
      <c r="A9" s="11" t="s">
        <v>84</v>
      </c>
      <c r="B9" s="11" t="s">
        <v>14</v>
      </c>
      <c r="C9" s="11" t="s">
        <v>68</v>
      </c>
      <c r="D9" s="12" t="s">
        <v>85</v>
      </c>
      <c r="E9" s="12" t="s">
        <v>86</v>
      </c>
      <c r="F9" s="12" t="s">
        <v>87</v>
      </c>
      <c r="G9" s="11" t="s">
        <v>72</v>
      </c>
      <c r="H9" s="11" t="s">
        <v>4</v>
      </c>
      <c r="I9" s="13" t="n">
        <v>0.866666666666667</v>
      </c>
      <c r="J9" s="11" t="s">
        <v>49</v>
      </c>
      <c r="K9" s="12" t="s">
        <v>88</v>
      </c>
      <c r="L9" s="12" t="s">
        <v>89</v>
      </c>
      <c r="M9" s="11" t="s">
        <v>50</v>
      </c>
      <c r="N9" s="12" t="s">
        <v>51</v>
      </c>
      <c r="O9" s="11" t="s">
        <v>27</v>
      </c>
      <c r="P9" s="11" t="s">
        <v>52</v>
      </c>
      <c r="Q9" s="12"/>
    </row>
    <row r="10" customFormat="false" ht="15" hidden="false" customHeight="false" outlineLevel="0" collapsed="false">
      <c r="A10" s="11" t="s">
        <v>90</v>
      </c>
      <c r="B10" s="11" t="s">
        <v>14</v>
      </c>
      <c r="C10" s="11" t="s">
        <v>68</v>
      </c>
      <c r="D10" s="12" t="s">
        <v>62</v>
      </c>
      <c r="E10" s="12" t="s">
        <v>91</v>
      </c>
      <c r="F10" s="12" t="s">
        <v>62</v>
      </c>
      <c r="G10" s="11" t="s">
        <v>48</v>
      </c>
      <c r="H10" s="11" t="s">
        <v>9</v>
      </c>
      <c r="I10" s="13"/>
      <c r="J10" s="11" t="s">
        <v>49</v>
      </c>
      <c r="K10" s="12"/>
      <c r="L10" s="12"/>
      <c r="M10" s="11" t="s">
        <v>50</v>
      </c>
      <c r="N10" s="12" t="s">
        <v>51</v>
      </c>
      <c r="O10" s="11" t="s">
        <v>28</v>
      </c>
      <c r="P10" s="11" t="s">
        <v>52</v>
      </c>
      <c r="Q10" s="12" t="s">
        <v>53</v>
      </c>
    </row>
    <row r="11" customFormat="false" ht="15" hidden="false" customHeight="false" outlineLevel="0" collapsed="false">
      <c r="A11" s="11" t="s">
        <v>92</v>
      </c>
      <c r="B11" s="11" t="s">
        <v>14</v>
      </c>
      <c r="C11" s="11" t="s">
        <v>68</v>
      </c>
      <c r="D11" s="12" t="s">
        <v>93</v>
      </c>
      <c r="E11" s="12" t="s">
        <v>94</v>
      </c>
      <c r="F11" s="12" t="s">
        <v>93</v>
      </c>
      <c r="G11" s="11" t="s">
        <v>48</v>
      </c>
      <c r="H11" s="11" t="s">
        <v>9</v>
      </c>
      <c r="I11" s="13"/>
      <c r="J11" s="11" t="s">
        <v>49</v>
      </c>
      <c r="K11" s="12"/>
      <c r="L11" s="12"/>
      <c r="M11" s="11" t="s">
        <v>50</v>
      </c>
      <c r="N11" s="12" t="s">
        <v>51</v>
      </c>
      <c r="O11" s="11" t="s">
        <v>28</v>
      </c>
      <c r="P11" s="11" t="s">
        <v>52</v>
      </c>
      <c r="Q11" s="12" t="s">
        <v>53</v>
      </c>
    </row>
    <row r="12" customFormat="false" ht="15" hidden="false" customHeight="false" outlineLevel="0" collapsed="false">
      <c r="A12" s="11" t="s">
        <v>95</v>
      </c>
      <c r="B12" s="11" t="s">
        <v>14</v>
      </c>
      <c r="C12" s="11" t="s">
        <v>68</v>
      </c>
      <c r="D12" s="12" t="s">
        <v>74</v>
      </c>
      <c r="E12" s="12" t="s">
        <v>96</v>
      </c>
      <c r="F12" s="12" t="s">
        <v>74</v>
      </c>
      <c r="G12" s="11" t="s">
        <v>72</v>
      </c>
      <c r="H12" s="11" t="s">
        <v>9</v>
      </c>
      <c r="I12" s="13"/>
      <c r="J12" s="11" t="s">
        <v>49</v>
      </c>
      <c r="K12" s="12"/>
      <c r="L12" s="12"/>
      <c r="M12" s="11" t="s">
        <v>50</v>
      </c>
      <c r="N12" s="12" t="s">
        <v>51</v>
      </c>
      <c r="O12" s="11" t="s">
        <v>28</v>
      </c>
      <c r="P12" s="11" t="s">
        <v>52</v>
      </c>
      <c r="Q12" s="12" t="s">
        <v>60</v>
      </c>
    </row>
    <row r="13" customFormat="false" ht="15" hidden="false" customHeight="false" outlineLevel="0" collapsed="false">
      <c r="A13" s="11" t="s">
        <v>97</v>
      </c>
      <c r="B13" s="11" t="s">
        <v>14</v>
      </c>
      <c r="C13" s="11" t="s">
        <v>68</v>
      </c>
      <c r="D13" s="12" t="s">
        <v>98</v>
      </c>
      <c r="E13" s="12" t="s">
        <v>99</v>
      </c>
      <c r="F13" s="12" t="s">
        <v>98</v>
      </c>
      <c r="G13" s="11" t="s">
        <v>72</v>
      </c>
      <c r="H13" s="11" t="s">
        <v>4</v>
      </c>
      <c r="I13" s="13" t="n">
        <v>1</v>
      </c>
      <c r="J13" s="11" t="s">
        <v>49</v>
      </c>
      <c r="K13" s="12" t="s">
        <v>100</v>
      </c>
      <c r="L13" s="12"/>
      <c r="M13" s="11" t="s">
        <v>50</v>
      </c>
      <c r="N13" s="12" t="s">
        <v>51</v>
      </c>
      <c r="O13" s="11" t="s">
        <v>27</v>
      </c>
      <c r="P13" s="11" t="s">
        <v>52</v>
      </c>
      <c r="Q13" s="12"/>
    </row>
    <row r="14" customFormat="false" ht="15" hidden="false" customHeight="false" outlineLevel="0" collapsed="false">
      <c r="A14" s="11" t="s">
        <v>101</v>
      </c>
      <c r="B14" s="11" t="s">
        <v>14</v>
      </c>
      <c r="C14" s="11" t="s">
        <v>68</v>
      </c>
      <c r="D14" s="12" t="s">
        <v>102</v>
      </c>
      <c r="E14" s="12" t="s">
        <v>103</v>
      </c>
      <c r="F14" s="12" t="s">
        <v>102</v>
      </c>
      <c r="G14" s="11" t="s">
        <v>48</v>
      </c>
      <c r="H14" s="11" t="s">
        <v>9</v>
      </c>
      <c r="I14" s="13"/>
      <c r="J14" s="11" t="s">
        <v>49</v>
      </c>
      <c r="K14" s="12"/>
      <c r="L14" s="12"/>
      <c r="M14" s="11" t="s">
        <v>50</v>
      </c>
      <c r="N14" s="12" t="s">
        <v>51</v>
      </c>
      <c r="O14" s="11" t="s">
        <v>28</v>
      </c>
      <c r="P14" s="11" t="s">
        <v>52</v>
      </c>
      <c r="Q14" s="12" t="s">
        <v>53</v>
      </c>
    </row>
    <row r="15" customFormat="false" ht="15" hidden="false" customHeight="false" outlineLevel="0" collapsed="false">
      <c r="A15" s="11" t="s">
        <v>104</v>
      </c>
      <c r="B15" s="11" t="s">
        <v>14</v>
      </c>
      <c r="C15" s="11" t="s">
        <v>68</v>
      </c>
      <c r="D15" s="12" t="s">
        <v>105</v>
      </c>
      <c r="E15" s="12" t="s">
        <v>106</v>
      </c>
      <c r="F15" s="12" t="s">
        <v>105</v>
      </c>
      <c r="G15" s="11" t="s">
        <v>72</v>
      </c>
      <c r="H15" s="11" t="s">
        <v>9</v>
      </c>
      <c r="I15" s="13"/>
      <c r="J15" s="11" t="s">
        <v>49</v>
      </c>
      <c r="K15" s="12" t="s">
        <v>107</v>
      </c>
      <c r="L15" s="12"/>
      <c r="M15" s="11" t="s">
        <v>50</v>
      </c>
      <c r="N15" s="12" t="s">
        <v>51</v>
      </c>
      <c r="O15" s="11" t="s">
        <v>28</v>
      </c>
      <c r="P15" s="11" t="s">
        <v>52</v>
      </c>
      <c r="Q15" s="12" t="s">
        <v>60</v>
      </c>
    </row>
    <row r="16" customFormat="false" ht="22.35" hidden="false" customHeight="false" outlineLevel="0" collapsed="false">
      <c r="A16" s="11" t="s">
        <v>108</v>
      </c>
      <c r="B16" s="11" t="s">
        <v>14</v>
      </c>
      <c r="C16" s="11" t="s">
        <v>68</v>
      </c>
      <c r="D16" s="12" t="s">
        <v>109</v>
      </c>
      <c r="E16" s="12" t="s">
        <v>110</v>
      </c>
      <c r="F16" s="12" t="s">
        <v>109</v>
      </c>
      <c r="G16" s="11" t="s">
        <v>72</v>
      </c>
      <c r="H16" s="11" t="s">
        <v>4</v>
      </c>
      <c r="I16" s="13" t="n">
        <v>1</v>
      </c>
      <c r="J16" s="11" t="s">
        <v>49</v>
      </c>
      <c r="K16" s="12" t="s">
        <v>111</v>
      </c>
      <c r="L16" s="12"/>
      <c r="M16" s="11" t="s">
        <v>50</v>
      </c>
      <c r="N16" s="12" t="s">
        <v>51</v>
      </c>
      <c r="O16" s="11" t="s">
        <v>27</v>
      </c>
      <c r="P16" s="11" t="s">
        <v>52</v>
      </c>
      <c r="Q16" s="12"/>
    </row>
    <row r="17" customFormat="false" ht="15" hidden="false" customHeight="false" outlineLevel="0" collapsed="false">
      <c r="A17" s="11" t="s">
        <v>112</v>
      </c>
      <c r="B17" s="11" t="s">
        <v>14</v>
      </c>
      <c r="C17" s="11" t="s">
        <v>68</v>
      </c>
      <c r="D17" s="12" t="s">
        <v>113</v>
      </c>
      <c r="E17" s="12" t="s">
        <v>114</v>
      </c>
      <c r="F17" s="12" t="s">
        <v>113</v>
      </c>
      <c r="G17" s="11" t="s">
        <v>48</v>
      </c>
      <c r="H17" s="11" t="s">
        <v>9</v>
      </c>
      <c r="I17" s="13"/>
      <c r="J17" s="11" t="s">
        <v>49</v>
      </c>
      <c r="K17" s="12"/>
      <c r="L17" s="12"/>
      <c r="M17" s="11" t="s">
        <v>50</v>
      </c>
      <c r="N17" s="12" t="s">
        <v>51</v>
      </c>
      <c r="O17" s="11" t="s">
        <v>28</v>
      </c>
      <c r="P17" s="11" t="s">
        <v>52</v>
      </c>
      <c r="Q17" s="12" t="s">
        <v>53</v>
      </c>
    </row>
    <row r="18" customFormat="false" ht="15" hidden="false" customHeight="false" outlineLevel="0" collapsed="false">
      <c r="A18" s="11" t="s">
        <v>115</v>
      </c>
      <c r="B18" s="11" t="s">
        <v>14</v>
      </c>
      <c r="C18" s="11" t="s">
        <v>68</v>
      </c>
      <c r="D18" s="12" t="s">
        <v>116</v>
      </c>
      <c r="E18" s="12" t="s">
        <v>117</v>
      </c>
      <c r="F18" s="12" t="s">
        <v>116</v>
      </c>
      <c r="G18" s="11" t="s">
        <v>48</v>
      </c>
      <c r="H18" s="11" t="s">
        <v>9</v>
      </c>
      <c r="I18" s="13"/>
      <c r="J18" s="11" t="s">
        <v>49</v>
      </c>
      <c r="K18" s="12"/>
      <c r="L18" s="12"/>
      <c r="M18" s="11" t="s">
        <v>50</v>
      </c>
      <c r="N18" s="12" t="s">
        <v>51</v>
      </c>
      <c r="O18" s="11" t="s">
        <v>28</v>
      </c>
      <c r="P18" s="11" t="s">
        <v>52</v>
      </c>
      <c r="Q18" s="12" t="s">
        <v>53</v>
      </c>
    </row>
    <row r="19" customFormat="false" ht="15" hidden="false" customHeight="false" outlineLevel="0" collapsed="false">
      <c r="A19" s="11" t="s">
        <v>118</v>
      </c>
      <c r="B19" s="11" t="s">
        <v>14</v>
      </c>
      <c r="C19" s="11" t="s">
        <v>68</v>
      </c>
      <c r="D19" s="12" t="s">
        <v>119</v>
      </c>
      <c r="E19" s="12" t="s">
        <v>120</v>
      </c>
      <c r="F19" s="12" t="s">
        <v>119</v>
      </c>
      <c r="G19" s="11" t="s">
        <v>48</v>
      </c>
      <c r="H19" s="11" t="s">
        <v>9</v>
      </c>
      <c r="I19" s="13"/>
      <c r="J19" s="11" t="s">
        <v>49</v>
      </c>
      <c r="K19" s="12" t="s">
        <v>121</v>
      </c>
      <c r="L19" s="12"/>
      <c r="M19" s="11" t="s">
        <v>50</v>
      </c>
      <c r="N19" s="12" t="s">
        <v>51</v>
      </c>
      <c r="O19" s="11" t="s">
        <v>28</v>
      </c>
      <c r="P19" s="11" t="s">
        <v>52</v>
      </c>
      <c r="Q19" s="12" t="s">
        <v>53</v>
      </c>
    </row>
    <row r="20" customFormat="false" ht="32.8" hidden="false" customHeight="false" outlineLevel="0" collapsed="false">
      <c r="A20" s="11" t="s">
        <v>122</v>
      </c>
      <c r="B20" s="11" t="s">
        <v>14</v>
      </c>
      <c r="C20" s="11" t="s">
        <v>68</v>
      </c>
      <c r="D20" s="12" t="s">
        <v>123</v>
      </c>
      <c r="E20" s="12" t="s">
        <v>124</v>
      </c>
      <c r="F20" s="12" t="s">
        <v>123</v>
      </c>
      <c r="G20" s="11" t="s">
        <v>72</v>
      </c>
      <c r="H20" s="11" t="s">
        <v>4</v>
      </c>
      <c r="I20" s="13" t="n">
        <v>1</v>
      </c>
      <c r="J20" s="11" t="s">
        <v>49</v>
      </c>
      <c r="K20" s="12" t="s">
        <v>125</v>
      </c>
      <c r="L20" s="12"/>
      <c r="M20" s="11" t="s">
        <v>50</v>
      </c>
      <c r="N20" s="12" t="s">
        <v>51</v>
      </c>
      <c r="O20" s="11" t="s">
        <v>27</v>
      </c>
      <c r="P20" s="11" t="s">
        <v>52</v>
      </c>
      <c r="Q20" s="12"/>
    </row>
    <row r="21" customFormat="false" ht="22.35" hidden="false" customHeight="false" outlineLevel="0" collapsed="false">
      <c r="A21" s="11" t="s">
        <v>126</v>
      </c>
      <c r="B21" s="11" t="s">
        <v>14</v>
      </c>
      <c r="C21" s="11" t="s">
        <v>68</v>
      </c>
      <c r="D21" s="12" t="s">
        <v>74</v>
      </c>
      <c r="E21" s="12" t="s">
        <v>127</v>
      </c>
      <c r="F21" s="12" t="s">
        <v>128</v>
      </c>
      <c r="G21" s="11" t="s">
        <v>59</v>
      </c>
      <c r="H21" s="11" t="s">
        <v>4</v>
      </c>
      <c r="I21" s="13" t="n">
        <v>0.952380952380952</v>
      </c>
      <c r="J21" s="11" t="s">
        <v>49</v>
      </c>
      <c r="K21" s="12" t="s">
        <v>129</v>
      </c>
      <c r="L21" s="12" t="s">
        <v>130</v>
      </c>
      <c r="M21" s="11" t="s">
        <v>50</v>
      </c>
      <c r="N21" s="12" t="s">
        <v>51</v>
      </c>
      <c r="O21" s="11" t="s">
        <v>27</v>
      </c>
      <c r="P21" s="11" t="s">
        <v>52</v>
      </c>
      <c r="Q21" s="12"/>
    </row>
    <row r="22" customFormat="false" ht="32.8" hidden="false" customHeight="false" outlineLevel="0" collapsed="false">
      <c r="A22" s="11" t="s">
        <v>131</v>
      </c>
      <c r="B22" s="11" t="s">
        <v>14</v>
      </c>
      <c r="C22" s="11" t="s">
        <v>68</v>
      </c>
      <c r="D22" s="12" t="s">
        <v>132</v>
      </c>
      <c r="E22" s="12" t="s">
        <v>133</v>
      </c>
      <c r="F22" s="12" t="s">
        <v>134</v>
      </c>
      <c r="G22" s="11" t="s">
        <v>59</v>
      </c>
      <c r="H22" s="11" t="s">
        <v>4</v>
      </c>
      <c r="I22" s="13" t="n">
        <v>1</v>
      </c>
      <c r="J22" s="11" t="s">
        <v>49</v>
      </c>
      <c r="K22" s="12" t="s">
        <v>135</v>
      </c>
      <c r="L22" s="12"/>
      <c r="M22" s="11" t="s">
        <v>50</v>
      </c>
      <c r="N22" s="12" t="s">
        <v>51</v>
      </c>
      <c r="O22" s="11" t="s">
        <v>27</v>
      </c>
      <c r="P22" s="11" t="s">
        <v>52</v>
      </c>
      <c r="Q22" s="12"/>
    </row>
    <row r="23" customFormat="false" ht="32.8" hidden="false" customHeight="false" outlineLevel="0" collapsed="false">
      <c r="A23" s="11" t="s">
        <v>136</v>
      </c>
      <c r="B23" s="11" t="s">
        <v>14</v>
      </c>
      <c r="C23" s="11" t="s">
        <v>68</v>
      </c>
      <c r="D23" s="12" t="s">
        <v>137</v>
      </c>
      <c r="E23" s="12" t="s">
        <v>138</v>
      </c>
      <c r="F23" s="12" t="s">
        <v>139</v>
      </c>
      <c r="G23" s="11" t="s">
        <v>59</v>
      </c>
      <c r="H23" s="11" t="s">
        <v>4</v>
      </c>
      <c r="I23" s="13" t="n">
        <v>1</v>
      </c>
      <c r="J23" s="11" t="s">
        <v>49</v>
      </c>
      <c r="K23" s="12" t="s">
        <v>140</v>
      </c>
      <c r="L23" s="12"/>
      <c r="M23" s="11" t="s">
        <v>50</v>
      </c>
      <c r="N23" s="12" t="s">
        <v>51</v>
      </c>
      <c r="O23" s="11" t="s">
        <v>27</v>
      </c>
      <c r="P23" s="11" t="s">
        <v>52</v>
      </c>
      <c r="Q23" s="12"/>
    </row>
    <row r="24" customFormat="false" ht="32.8" hidden="false" customHeight="false" outlineLevel="0" collapsed="false">
      <c r="A24" s="11" t="s">
        <v>141</v>
      </c>
      <c r="B24" s="11" t="s">
        <v>14</v>
      </c>
      <c r="C24" s="11" t="s">
        <v>68</v>
      </c>
      <c r="D24" s="12" t="s">
        <v>142</v>
      </c>
      <c r="E24" s="12" t="s">
        <v>143</v>
      </c>
      <c r="F24" s="12" t="s">
        <v>144</v>
      </c>
      <c r="G24" s="11" t="s">
        <v>59</v>
      </c>
      <c r="H24" s="11" t="s">
        <v>4</v>
      </c>
      <c r="I24" s="13" t="n">
        <v>1</v>
      </c>
      <c r="J24" s="11" t="s">
        <v>49</v>
      </c>
      <c r="K24" s="12" t="s">
        <v>145</v>
      </c>
      <c r="L24" s="12"/>
      <c r="M24" s="11" t="s">
        <v>50</v>
      </c>
      <c r="N24" s="12" t="s">
        <v>51</v>
      </c>
      <c r="O24" s="11" t="s">
        <v>27</v>
      </c>
      <c r="P24" s="11" t="s">
        <v>52</v>
      </c>
      <c r="Q24" s="12"/>
    </row>
    <row r="25" customFormat="false" ht="32.8" hidden="false" customHeight="false" outlineLevel="0" collapsed="false">
      <c r="A25" s="11" t="s">
        <v>146</v>
      </c>
      <c r="B25" s="11" t="s">
        <v>14</v>
      </c>
      <c r="C25" s="11" t="s">
        <v>68</v>
      </c>
      <c r="D25" s="12" t="s">
        <v>147</v>
      </c>
      <c r="E25" s="12" t="s">
        <v>148</v>
      </c>
      <c r="F25" s="12" t="s">
        <v>149</v>
      </c>
      <c r="G25" s="11" t="s">
        <v>59</v>
      </c>
      <c r="H25" s="11" t="s">
        <v>4</v>
      </c>
      <c r="I25" s="13" t="n">
        <v>1</v>
      </c>
      <c r="J25" s="11" t="s">
        <v>49</v>
      </c>
      <c r="K25" s="12" t="s">
        <v>150</v>
      </c>
      <c r="L25" s="12"/>
      <c r="M25" s="11" t="s">
        <v>50</v>
      </c>
      <c r="N25" s="12" t="s">
        <v>51</v>
      </c>
      <c r="O25" s="11" t="s">
        <v>27</v>
      </c>
      <c r="P25" s="11" t="s">
        <v>52</v>
      </c>
      <c r="Q25" s="12"/>
    </row>
    <row r="26" customFormat="false" ht="32.8" hidden="false" customHeight="false" outlineLevel="0" collapsed="false">
      <c r="A26" s="11" t="s">
        <v>151</v>
      </c>
      <c r="B26" s="11" t="s">
        <v>14</v>
      </c>
      <c r="C26" s="11" t="s">
        <v>68</v>
      </c>
      <c r="D26" s="12" t="s">
        <v>152</v>
      </c>
      <c r="E26" s="12" t="s">
        <v>153</v>
      </c>
      <c r="F26" s="12" t="s">
        <v>154</v>
      </c>
      <c r="G26" s="11" t="s">
        <v>59</v>
      </c>
      <c r="H26" s="11" t="s">
        <v>4</v>
      </c>
      <c r="I26" s="13" t="n">
        <v>1</v>
      </c>
      <c r="J26" s="11" t="s">
        <v>49</v>
      </c>
      <c r="K26" s="12" t="s">
        <v>155</v>
      </c>
      <c r="L26" s="12"/>
      <c r="M26" s="11" t="s">
        <v>50</v>
      </c>
      <c r="N26" s="12" t="s">
        <v>51</v>
      </c>
      <c r="O26" s="11" t="s">
        <v>27</v>
      </c>
      <c r="P26" s="11" t="s">
        <v>52</v>
      </c>
      <c r="Q26" s="12"/>
    </row>
    <row r="27" customFormat="false" ht="32.8" hidden="false" customHeight="false" outlineLevel="0" collapsed="false">
      <c r="A27" s="11" t="s">
        <v>156</v>
      </c>
      <c r="B27" s="11" t="s">
        <v>14</v>
      </c>
      <c r="C27" s="11" t="s">
        <v>68</v>
      </c>
      <c r="D27" s="12" t="s">
        <v>157</v>
      </c>
      <c r="E27" s="12" t="s">
        <v>158</v>
      </c>
      <c r="F27" s="12" t="s">
        <v>159</v>
      </c>
      <c r="G27" s="11" t="s">
        <v>59</v>
      </c>
      <c r="H27" s="11" t="s">
        <v>4</v>
      </c>
      <c r="I27" s="13" t="n">
        <v>1</v>
      </c>
      <c r="J27" s="11" t="s">
        <v>49</v>
      </c>
      <c r="K27" s="12" t="s">
        <v>160</v>
      </c>
      <c r="L27" s="12"/>
      <c r="M27" s="11" t="s">
        <v>50</v>
      </c>
      <c r="N27" s="12" t="s">
        <v>51</v>
      </c>
      <c r="O27" s="11" t="s">
        <v>27</v>
      </c>
      <c r="P27" s="11" t="s">
        <v>52</v>
      </c>
      <c r="Q27" s="12"/>
    </row>
    <row r="28" customFormat="false" ht="32.8" hidden="false" customHeight="false" outlineLevel="0" collapsed="false">
      <c r="A28" s="11" t="s">
        <v>161</v>
      </c>
      <c r="B28" s="11" t="s">
        <v>14</v>
      </c>
      <c r="C28" s="11" t="s">
        <v>68</v>
      </c>
      <c r="D28" s="12" t="s">
        <v>162</v>
      </c>
      <c r="E28" s="12" t="s">
        <v>163</v>
      </c>
      <c r="F28" s="12" t="s">
        <v>164</v>
      </c>
      <c r="G28" s="11" t="s">
        <v>59</v>
      </c>
      <c r="H28" s="11" t="s">
        <v>4</v>
      </c>
      <c r="I28" s="13" t="n">
        <v>1</v>
      </c>
      <c r="J28" s="11" t="s">
        <v>49</v>
      </c>
      <c r="K28" s="12" t="s">
        <v>165</v>
      </c>
      <c r="L28" s="12"/>
      <c r="M28" s="11" t="s">
        <v>50</v>
      </c>
      <c r="N28" s="12" t="s">
        <v>51</v>
      </c>
      <c r="O28" s="11" t="s">
        <v>27</v>
      </c>
      <c r="P28" s="11" t="s">
        <v>52</v>
      </c>
      <c r="Q28" s="12"/>
    </row>
    <row r="29" customFormat="false" ht="32.8" hidden="false" customHeight="false" outlineLevel="0" collapsed="false">
      <c r="A29" s="11" t="s">
        <v>166</v>
      </c>
      <c r="B29" s="11" t="s">
        <v>14</v>
      </c>
      <c r="C29" s="11" t="s">
        <v>68</v>
      </c>
      <c r="D29" s="12" t="s">
        <v>167</v>
      </c>
      <c r="E29" s="12" t="s">
        <v>168</v>
      </c>
      <c r="F29" s="12" t="s">
        <v>169</v>
      </c>
      <c r="G29" s="11" t="s">
        <v>59</v>
      </c>
      <c r="H29" s="11" t="s">
        <v>4</v>
      </c>
      <c r="I29" s="13" t="n">
        <v>1</v>
      </c>
      <c r="J29" s="11" t="s">
        <v>49</v>
      </c>
      <c r="K29" s="12" t="s">
        <v>170</v>
      </c>
      <c r="L29" s="12"/>
      <c r="M29" s="11" t="s">
        <v>50</v>
      </c>
      <c r="N29" s="12" t="s">
        <v>51</v>
      </c>
      <c r="O29" s="11" t="s">
        <v>27</v>
      </c>
      <c r="P29" s="11" t="s">
        <v>52</v>
      </c>
      <c r="Q29" s="12"/>
    </row>
    <row r="30" customFormat="false" ht="32.8" hidden="false" customHeight="false" outlineLevel="0" collapsed="false">
      <c r="A30" s="11" t="s">
        <v>171</v>
      </c>
      <c r="B30" s="11" t="s">
        <v>14</v>
      </c>
      <c r="C30" s="11" t="s">
        <v>68</v>
      </c>
      <c r="D30" s="12" t="s">
        <v>172</v>
      </c>
      <c r="E30" s="12" t="s">
        <v>173</v>
      </c>
      <c r="F30" s="12" t="s">
        <v>174</v>
      </c>
      <c r="G30" s="11" t="s">
        <v>59</v>
      </c>
      <c r="H30" s="11" t="s">
        <v>4</v>
      </c>
      <c r="I30" s="13" t="n">
        <v>1</v>
      </c>
      <c r="J30" s="11" t="s">
        <v>49</v>
      </c>
      <c r="K30" s="12" t="s">
        <v>175</v>
      </c>
      <c r="L30" s="12"/>
      <c r="M30" s="11" t="s">
        <v>50</v>
      </c>
      <c r="N30" s="12" t="s">
        <v>51</v>
      </c>
      <c r="O30" s="11" t="s">
        <v>27</v>
      </c>
      <c r="P30" s="11" t="s">
        <v>52</v>
      </c>
      <c r="Q30" s="12"/>
    </row>
    <row r="31" customFormat="false" ht="22.35" hidden="false" customHeight="false" outlineLevel="0" collapsed="false">
      <c r="A31" s="11" t="s">
        <v>176</v>
      </c>
      <c r="B31" s="11" t="s">
        <v>14</v>
      </c>
      <c r="C31" s="11" t="s">
        <v>68</v>
      </c>
      <c r="D31" s="12" t="s">
        <v>177</v>
      </c>
      <c r="E31" s="12" t="s">
        <v>178</v>
      </c>
      <c r="F31" s="12" t="s">
        <v>179</v>
      </c>
      <c r="G31" s="11" t="s">
        <v>59</v>
      </c>
      <c r="H31" s="11" t="s">
        <v>4</v>
      </c>
      <c r="I31" s="13" t="n">
        <v>1</v>
      </c>
      <c r="J31" s="11" t="s">
        <v>49</v>
      </c>
      <c r="K31" s="12" t="s">
        <v>180</v>
      </c>
      <c r="L31" s="12"/>
      <c r="M31" s="11" t="s">
        <v>50</v>
      </c>
      <c r="N31" s="12" t="s">
        <v>51</v>
      </c>
      <c r="O31" s="11" t="s">
        <v>27</v>
      </c>
      <c r="P31" s="11" t="s">
        <v>52</v>
      </c>
      <c r="Q31" s="12"/>
    </row>
    <row r="32" customFormat="false" ht="22.35" hidden="false" customHeight="false" outlineLevel="0" collapsed="false">
      <c r="A32" s="11" t="s">
        <v>181</v>
      </c>
      <c r="B32" s="11" t="s">
        <v>14</v>
      </c>
      <c r="C32" s="11" t="s">
        <v>68</v>
      </c>
      <c r="D32" s="12" t="s">
        <v>182</v>
      </c>
      <c r="E32" s="12" t="s">
        <v>183</v>
      </c>
      <c r="F32" s="12" t="s">
        <v>184</v>
      </c>
      <c r="G32" s="11" t="s">
        <v>59</v>
      </c>
      <c r="H32" s="11" t="s">
        <v>4</v>
      </c>
      <c r="I32" s="13" t="n">
        <v>1</v>
      </c>
      <c r="J32" s="11" t="s">
        <v>49</v>
      </c>
      <c r="K32" s="12" t="s">
        <v>185</v>
      </c>
      <c r="L32" s="12"/>
      <c r="M32" s="11" t="s">
        <v>50</v>
      </c>
      <c r="N32" s="12" t="s">
        <v>51</v>
      </c>
      <c r="O32" s="11" t="s">
        <v>27</v>
      </c>
      <c r="P32" s="11" t="s">
        <v>52</v>
      </c>
      <c r="Q32" s="12"/>
    </row>
    <row r="33" customFormat="false" ht="22.35" hidden="false" customHeight="false" outlineLevel="0" collapsed="false">
      <c r="A33" s="11" t="s">
        <v>186</v>
      </c>
      <c r="B33" s="11" t="s">
        <v>14</v>
      </c>
      <c r="C33" s="11" t="s">
        <v>68</v>
      </c>
      <c r="D33" s="12" t="s">
        <v>102</v>
      </c>
      <c r="E33" s="12" t="s">
        <v>187</v>
      </c>
      <c r="F33" s="12" t="s">
        <v>102</v>
      </c>
      <c r="G33" s="11" t="s">
        <v>48</v>
      </c>
      <c r="H33" s="11" t="s">
        <v>9</v>
      </c>
      <c r="I33" s="13"/>
      <c r="J33" s="11" t="s">
        <v>49</v>
      </c>
      <c r="K33" s="12" t="s">
        <v>121</v>
      </c>
      <c r="L33" s="12"/>
      <c r="M33" s="11" t="s">
        <v>50</v>
      </c>
      <c r="N33" s="12" t="s">
        <v>51</v>
      </c>
      <c r="O33" s="11" t="s">
        <v>28</v>
      </c>
      <c r="P33" s="11" t="s">
        <v>52</v>
      </c>
      <c r="Q33" s="12" t="s">
        <v>53</v>
      </c>
    </row>
    <row r="34" customFormat="false" ht="22.35" hidden="false" customHeight="false" outlineLevel="0" collapsed="false">
      <c r="A34" s="11" t="s">
        <v>188</v>
      </c>
      <c r="B34" s="11" t="s">
        <v>14</v>
      </c>
      <c r="C34" s="11" t="s">
        <v>68</v>
      </c>
      <c r="D34" s="12" t="s">
        <v>189</v>
      </c>
      <c r="E34" s="12" t="s">
        <v>190</v>
      </c>
      <c r="F34" s="12" t="s">
        <v>189</v>
      </c>
      <c r="G34" s="11" t="s">
        <v>48</v>
      </c>
      <c r="H34" s="11" t="s">
        <v>9</v>
      </c>
      <c r="I34" s="13"/>
      <c r="J34" s="11" t="s">
        <v>49</v>
      </c>
      <c r="K34" s="12" t="s">
        <v>121</v>
      </c>
      <c r="L34" s="12"/>
      <c r="M34" s="11" t="s">
        <v>50</v>
      </c>
      <c r="N34" s="12" t="s">
        <v>51</v>
      </c>
      <c r="O34" s="11" t="s">
        <v>28</v>
      </c>
      <c r="P34" s="11" t="s">
        <v>52</v>
      </c>
      <c r="Q34" s="12" t="s">
        <v>53</v>
      </c>
    </row>
    <row r="35" customFormat="false" ht="22.35" hidden="false" customHeight="false" outlineLevel="0" collapsed="false">
      <c r="A35" s="11" t="s">
        <v>191</v>
      </c>
      <c r="B35" s="11" t="s">
        <v>14</v>
      </c>
      <c r="C35" s="11" t="s">
        <v>68</v>
      </c>
      <c r="D35" s="12" t="s">
        <v>116</v>
      </c>
      <c r="E35" s="12" t="s">
        <v>192</v>
      </c>
      <c r="F35" s="12" t="s">
        <v>116</v>
      </c>
      <c r="G35" s="11" t="s">
        <v>48</v>
      </c>
      <c r="H35" s="11" t="s">
        <v>9</v>
      </c>
      <c r="I35" s="13"/>
      <c r="J35" s="11" t="s">
        <v>49</v>
      </c>
      <c r="K35" s="12" t="s">
        <v>121</v>
      </c>
      <c r="L35" s="12"/>
      <c r="M35" s="11" t="s">
        <v>50</v>
      </c>
      <c r="N35" s="12" t="s">
        <v>51</v>
      </c>
      <c r="O35" s="11" t="s">
        <v>28</v>
      </c>
      <c r="P35" s="11" t="s">
        <v>52</v>
      </c>
      <c r="Q35" s="12" t="s">
        <v>53</v>
      </c>
    </row>
    <row r="36" customFormat="false" ht="22.35" hidden="false" customHeight="false" outlineLevel="0" collapsed="false">
      <c r="A36" s="11" t="s">
        <v>193</v>
      </c>
      <c r="B36" s="11" t="s">
        <v>14</v>
      </c>
      <c r="C36" s="11" t="s">
        <v>68</v>
      </c>
      <c r="D36" s="12" t="s">
        <v>93</v>
      </c>
      <c r="E36" s="12" t="s">
        <v>194</v>
      </c>
      <c r="F36" s="12" t="s">
        <v>93</v>
      </c>
      <c r="G36" s="11" t="s">
        <v>48</v>
      </c>
      <c r="H36" s="11" t="s">
        <v>9</v>
      </c>
      <c r="I36" s="13"/>
      <c r="J36" s="11" t="s">
        <v>49</v>
      </c>
      <c r="K36" s="12" t="s">
        <v>121</v>
      </c>
      <c r="L36" s="12"/>
      <c r="M36" s="11" t="s">
        <v>50</v>
      </c>
      <c r="N36" s="12" t="s">
        <v>51</v>
      </c>
      <c r="O36" s="11" t="s">
        <v>28</v>
      </c>
      <c r="P36" s="11" t="s">
        <v>52</v>
      </c>
      <c r="Q36" s="12" t="s">
        <v>53</v>
      </c>
    </row>
    <row r="37" customFormat="false" ht="22.35" hidden="false" customHeight="false" outlineLevel="0" collapsed="false">
      <c r="A37" s="11" t="s">
        <v>195</v>
      </c>
      <c r="B37" s="11" t="s">
        <v>14</v>
      </c>
      <c r="C37" s="11" t="s">
        <v>68</v>
      </c>
      <c r="D37" s="12" t="s">
        <v>74</v>
      </c>
      <c r="E37" s="12" t="s">
        <v>196</v>
      </c>
      <c r="F37" s="12" t="s">
        <v>197</v>
      </c>
      <c r="G37" s="11" t="s">
        <v>59</v>
      </c>
      <c r="H37" s="11" t="s">
        <v>4</v>
      </c>
      <c r="I37" s="13" t="n">
        <v>0.9375</v>
      </c>
      <c r="J37" s="11" t="s">
        <v>49</v>
      </c>
      <c r="K37" s="12" t="s">
        <v>198</v>
      </c>
      <c r="L37" s="12" t="s">
        <v>199</v>
      </c>
      <c r="M37" s="11" t="s">
        <v>50</v>
      </c>
      <c r="N37" s="12" t="s">
        <v>51</v>
      </c>
      <c r="O37" s="11" t="s">
        <v>27</v>
      </c>
      <c r="P37" s="11" t="s">
        <v>52</v>
      </c>
      <c r="Q37" s="12"/>
    </row>
    <row r="38" customFormat="false" ht="22.35" hidden="false" customHeight="false" outlineLevel="0" collapsed="false">
      <c r="A38" s="11" t="s">
        <v>200</v>
      </c>
      <c r="B38" s="11" t="s">
        <v>14</v>
      </c>
      <c r="C38" s="11" t="s">
        <v>68</v>
      </c>
      <c r="D38" s="12" t="s">
        <v>177</v>
      </c>
      <c r="E38" s="12" t="s">
        <v>201</v>
      </c>
      <c r="F38" s="12" t="s">
        <v>202</v>
      </c>
      <c r="G38" s="11" t="s">
        <v>72</v>
      </c>
      <c r="H38" s="11" t="s">
        <v>4</v>
      </c>
      <c r="I38" s="13" t="n">
        <v>0.972972972972973</v>
      </c>
      <c r="J38" s="11" t="s">
        <v>49</v>
      </c>
      <c r="K38" s="12" t="s">
        <v>203</v>
      </c>
      <c r="L38" s="12" t="s">
        <v>204</v>
      </c>
      <c r="M38" s="11" t="s">
        <v>50</v>
      </c>
      <c r="N38" s="12" t="s">
        <v>51</v>
      </c>
      <c r="O38" s="11" t="s">
        <v>27</v>
      </c>
      <c r="P38" s="11" t="s">
        <v>52</v>
      </c>
      <c r="Q38" s="12"/>
    </row>
    <row r="39" customFormat="false" ht="22.35" hidden="false" customHeight="false" outlineLevel="0" collapsed="false">
      <c r="A39" s="11" t="s">
        <v>205</v>
      </c>
      <c r="B39" s="11" t="s">
        <v>14</v>
      </c>
      <c r="C39" s="11" t="s">
        <v>68</v>
      </c>
      <c r="D39" s="12" t="s">
        <v>206</v>
      </c>
      <c r="E39" s="12" t="s">
        <v>207</v>
      </c>
      <c r="F39" s="12" t="s">
        <v>208</v>
      </c>
      <c r="G39" s="11" t="s">
        <v>72</v>
      </c>
      <c r="H39" s="11" t="s">
        <v>4</v>
      </c>
      <c r="I39" s="13"/>
      <c r="J39" s="11" t="s">
        <v>49</v>
      </c>
      <c r="K39" s="12" t="s">
        <v>209</v>
      </c>
      <c r="L39" s="12"/>
      <c r="M39" s="11" t="s">
        <v>50</v>
      </c>
      <c r="N39" s="12" t="s">
        <v>51</v>
      </c>
      <c r="O39" s="11" t="s">
        <v>27</v>
      </c>
      <c r="P39" s="11" t="s">
        <v>52</v>
      </c>
      <c r="Q39" s="12" t="s">
        <v>210</v>
      </c>
    </row>
    <row r="40" customFormat="false" ht="32.8" hidden="false" customHeight="false" outlineLevel="0" collapsed="false">
      <c r="A40" s="11" t="s">
        <v>211</v>
      </c>
      <c r="B40" s="11" t="s">
        <v>14</v>
      </c>
      <c r="C40" s="11" t="s">
        <v>68</v>
      </c>
      <c r="D40" s="12" t="s">
        <v>182</v>
      </c>
      <c r="E40" s="12" t="s">
        <v>212</v>
      </c>
      <c r="F40" s="12" t="s">
        <v>213</v>
      </c>
      <c r="G40" s="11" t="s">
        <v>72</v>
      </c>
      <c r="H40" s="11" t="s">
        <v>4</v>
      </c>
      <c r="I40" s="13" t="n">
        <v>0.766666666666667</v>
      </c>
      <c r="J40" s="11" t="s">
        <v>49</v>
      </c>
      <c r="K40" s="12" t="s">
        <v>214</v>
      </c>
      <c r="L40" s="12" t="s">
        <v>215</v>
      </c>
      <c r="M40" s="11" t="s">
        <v>50</v>
      </c>
      <c r="N40" s="12" t="s">
        <v>51</v>
      </c>
      <c r="O40" s="11" t="s">
        <v>27</v>
      </c>
      <c r="P40" s="11" t="s">
        <v>52</v>
      </c>
      <c r="Q40" s="12"/>
    </row>
    <row r="41" customFormat="false" ht="43.25" hidden="false" customHeight="false" outlineLevel="0" collapsed="false">
      <c r="A41" s="11" t="s">
        <v>216</v>
      </c>
      <c r="B41" s="11" t="s">
        <v>14</v>
      </c>
      <c r="C41" s="11" t="s">
        <v>68</v>
      </c>
      <c r="D41" s="12" t="s">
        <v>217</v>
      </c>
      <c r="E41" s="12" t="s">
        <v>218</v>
      </c>
      <c r="F41" s="12" t="s">
        <v>217</v>
      </c>
      <c r="G41" s="11" t="s">
        <v>72</v>
      </c>
      <c r="H41" s="11" t="s">
        <v>4</v>
      </c>
      <c r="I41" s="13" t="n">
        <v>0.75</v>
      </c>
      <c r="J41" s="11" t="s">
        <v>49</v>
      </c>
      <c r="K41" s="12" t="s">
        <v>219</v>
      </c>
      <c r="L41" s="12" t="s">
        <v>220</v>
      </c>
      <c r="M41" s="11" t="s">
        <v>50</v>
      </c>
      <c r="N41" s="12" t="s">
        <v>51</v>
      </c>
      <c r="O41" s="11" t="s">
        <v>27</v>
      </c>
      <c r="P41" s="11" t="s">
        <v>52</v>
      </c>
      <c r="Q41" s="12"/>
    </row>
    <row r="42" customFormat="false" ht="22.35" hidden="false" customHeight="false" outlineLevel="0" collapsed="false">
      <c r="A42" s="11" t="s">
        <v>221</v>
      </c>
      <c r="B42" s="11" t="s">
        <v>14</v>
      </c>
      <c r="C42" s="11" t="s">
        <v>68</v>
      </c>
      <c r="D42" s="12" t="s">
        <v>74</v>
      </c>
      <c r="E42" s="12" t="s">
        <v>222</v>
      </c>
      <c r="F42" s="12" t="s">
        <v>128</v>
      </c>
      <c r="G42" s="11" t="s">
        <v>72</v>
      </c>
      <c r="H42" s="11" t="s">
        <v>4</v>
      </c>
      <c r="I42" s="13" t="n">
        <v>0.882352941176471</v>
      </c>
      <c r="J42" s="11" t="s">
        <v>49</v>
      </c>
      <c r="K42" s="12" t="s">
        <v>223</v>
      </c>
      <c r="L42" s="12" t="s">
        <v>224</v>
      </c>
      <c r="M42" s="11" t="s">
        <v>50</v>
      </c>
      <c r="N42" s="12" t="s">
        <v>51</v>
      </c>
      <c r="O42" s="11" t="s">
        <v>27</v>
      </c>
      <c r="P42" s="11" t="s">
        <v>52</v>
      </c>
      <c r="Q42" s="12"/>
    </row>
    <row r="43" customFormat="false" ht="22.35" hidden="false" customHeight="false" outlineLevel="0" collapsed="false">
      <c r="A43" s="11" t="s">
        <v>225</v>
      </c>
      <c r="B43" s="11" t="s">
        <v>14</v>
      </c>
      <c r="C43" s="11" t="s">
        <v>68</v>
      </c>
      <c r="D43" s="12" t="s">
        <v>132</v>
      </c>
      <c r="E43" s="12" t="s">
        <v>226</v>
      </c>
      <c r="F43" s="12" t="s">
        <v>134</v>
      </c>
      <c r="G43" s="11" t="s">
        <v>72</v>
      </c>
      <c r="H43" s="11" t="s">
        <v>4</v>
      </c>
      <c r="I43" s="13" t="n">
        <v>1</v>
      </c>
      <c r="J43" s="11" t="s">
        <v>49</v>
      </c>
      <c r="K43" s="12" t="s">
        <v>135</v>
      </c>
      <c r="L43" s="12"/>
      <c r="M43" s="11" t="s">
        <v>50</v>
      </c>
      <c r="N43" s="12" t="s">
        <v>51</v>
      </c>
      <c r="O43" s="11" t="s">
        <v>27</v>
      </c>
      <c r="P43" s="11" t="s">
        <v>52</v>
      </c>
      <c r="Q43" s="12"/>
    </row>
    <row r="44" customFormat="false" ht="22.35" hidden="false" customHeight="false" outlineLevel="0" collapsed="false">
      <c r="A44" s="11" t="s">
        <v>227</v>
      </c>
      <c r="B44" s="11" t="s">
        <v>14</v>
      </c>
      <c r="C44" s="11" t="s">
        <v>68</v>
      </c>
      <c r="D44" s="12" t="s">
        <v>228</v>
      </c>
      <c r="E44" s="12" t="s">
        <v>229</v>
      </c>
      <c r="F44" s="12" t="s">
        <v>230</v>
      </c>
      <c r="G44" s="11" t="s">
        <v>72</v>
      </c>
      <c r="H44" s="11" t="s">
        <v>4</v>
      </c>
      <c r="I44" s="13" t="n">
        <v>1</v>
      </c>
      <c r="J44" s="11" t="s">
        <v>49</v>
      </c>
      <c r="K44" s="12" t="s">
        <v>231</v>
      </c>
      <c r="L44" s="12"/>
      <c r="M44" s="11" t="s">
        <v>50</v>
      </c>
      <c r="N44" s="12" t="s">
        <v>51</v>
      </c>
      <c r="O44" s="11" t="s">
        <v>27</v>
      </c>
      <c r="P44" s="11" t="s">
        <v>52</v>
      </c>
      <c r="Q44" s="12"/>
    </row>
    <row r="45" customFormat="false" ht="22.35" hidden="false" customHeight="false" outlineLevel="0" collapsed="false">
      <c r="A45" s="11" t="s">
        <v>232</v>
      </c>
      <c r="B45" s="11" t="s">
        <v>14</v>
      </c>
      <c r="C45" s="11" t="s">
        <v>68</v>
      </c>
      <c r="D45" s="12" t="s">
        <v>233</v>
      </c>
      <c r="E45" s="12" t="s">
        <v>234</v>
      </c>
      <c r="F45" s="12" t="s">
        <v>235</v>
      </c>
      <c r="G45" s="11" t="s">
        <v>72</v>
      </c>
      <c r="H45" s="11" t="s">
        <v>4</v>
      </c>
      <c r="I45" s="13" t="n">
        <v>1</v>
      </c>
      <c r="J45" s="11" t="s">
        <v>49</v>
      </c>
      <c r="K45" s="12" t="s">
        <v>150</v>
      </c>
      <c r="L45" s="12"/>
      <c r="M45" s="11" t="s">
        <v>50</v>
      </c>
      <c r="N45" s="12" t="s">
        <v>51</v>
      </c>
      <c r="O45" s="11" t="s">
        <v>27</v>
      </c>
      <c r="P45" s="11" t="s">
        <v>52</v>
      </c>
      <c r="Q45" s="12"/>
    </row>
    <row r="46" customFormat="false" ht="22.35" hidden="false" customHeight="false" outlineLevel="0" collapsed="false">
      <c r="A46" s="11" t="s">
        <v>236</v>
      </c>
      <c r="B46" s="11" t="s">
        <v>14</v>
      </c>
      <c r="C46" s="11" t="s">
        <v>68</v>
      </c>
      <c r="D46" s="12" t="s">
        <v>237</v>
      </c>
      <c r="E46" s="12" t="s">
        <v>238</v>
      </c>
      <c r="F46" s="12" t="s">
        <v>239</v>
      </c>
      <c r="G46" s="11" t="s">
        <v>72</v>
      </c>
      <c r="H46" s="11" t="s">
        <v>4</v>
      </c>
      <c r="I46" s="13" t="n">
        <v>1</v>
      </c>
      <c r="J46" s="11" t="s">
        <v>49</v>
      </c>
      <c r="K46" s="12" t="s">
        <v>240</v>
      </c>
      <c r="L46" s="12"/>
      <c r="M46" s="11" t="s">
        <v>50</v>
      </c>
      <c r="N46" s="12" t="s">
        <v>51</v>
      </c>
      <c r="O46" s="11" t="s">
        <v>27</v>
      </c>
      <c r="P46" s="11" t="s">
        <v>52</v>
      </c>
      <c r="Q46" s="12"/>
    </row>
    <row r="47" customFormat="false" ht="22.35" hidden="false" customHeight="false" outlineLevel="0" collapsed="false">
      <c r="A47" s="11" t="s">
        <v>241</v>
      </c>
      <c r="B47" s="11" t="s">
        <v>14</v>
      </c>
      <c r="C47" s="11" t="s">
        <v>68</v>
      </c>
      <c r="D47" s="12" t="s">
        <v>242</v>
      </c>
      <c r="E47" s="12" t="s">
        <v>243</v>
      </c>
      <c r="F47" s="12" t="s">
        <v>244</v>
      </c>
      <c r="G47" s="11" t="s">
        <v>72</v>
      </c>
      <c r="H47" s="11" t="s">
        <v>4</v>
      </c>
      <c r="I47" s="13" t="n">
        <v>1</v>
      </c>
      <c r="J47" s="11" t="s">
        <v>49</v>
      </c>
      <c r="K47" s="12" t="s">
        <v>245</v>
      </c>
      <c r="L47" s="12"/>
      <c r="M47" s="11" t="s">
        <v>50</v>
      </c>
      <c r="N47" s="12" t="s">
        <v>51</v>
      </c>
      <c r="O47" s="11" t="s">
        <v>27</v>
      </c>
      <c r="P47" s="11" t="s">
        <v>52</v>
      </c>
      <c r="Q47" s="12"/>
    </row>
    <row r="48" customFormat="false" ht="22.35" hidden="false" customHeight="false" outlineLevel="0" collapsed="false">
      <c r="A48" s="11" t="s">
        <v>246</v>
      </c>
      <c r="B48" s="11" t="s">
        <v>14</v>
      </c>
      <c r="C48" s="11" t="s">
        <v>68</v>
      </c>
      <c r="D48" s="12" t="s">
        <v>247</v>
      </c>
      <c r="E48" s="12" t="s">
        <v>248</v>
      </c>
      <c r="F48" s="12" t="s">
        <v>249</v>
      </c>
      <c r="G48" s="11" t="s">
        <v>72</v>
      </c>
      <c r="H48" s="11" t="s">
        <v>4</v>
      </c>
      <c r="I48" s="13" t="n">
        <v>1</v>
      </c>
      <c r="J48" s="11" t="s">
        <v>49</v>
      </c>
      <c r="K48" s="12" t="s">
        <v>250</v>
      </c>
      <c r="L48" s="12"/>
      <c r="M48" s="11" t="s">
        <v>50</v>
      </c>
      <c r="N48" s="12" t="s">
        <v>51</v>
      </c>
      <c r="O48" s="11" t="s">
        <v>27</v>
      </c>
      <c r="P48" s="11" t="s">
        <v>52</v>
      </c>
      <c r="Q48" s="12"/>
    </row>
    <row r="49" customFormat="false" ht="22.35" hidden="false" customHeight="false" outlineLevel="0" collapsed="false">
      <c r="A49" s="11" t="s">
        <v>251</v>
      </c>
      <c r="B49" s="11" t="s">
        <v>14</v>
      </c>
      <c r="C49" s="11" t="s">
        <v>68</v>
      </c>
      <c r="D49" s="12" t="s">
        <v>252</v>
      </c>
      <c r="E49" s="12" t="s">
        <v>253</v>
      </c>
      <c r="F49" s="12" t="s">
        <v>254</v>
      </c>
      <c r="G49" s="11" t="s">
        <v>72</v>
      </c>
      <c r="H49" s="11" t="s">
        <v>4</v>
      </c>
      <c r="I49" s="13" t="n">
        <v>1</v>
      </c>
      <c r="J49" s="11" t="s">
        <v>49</v>
      </c>
      <c r="K49" s="12" t="s">
        <v>170</v>
      </c>
      <c r="L49" s="12"/>
      <c r="M49" s="11" t="s">
        <v>50</v>
      </c>
      <c r="N49" s="12" t="s">
        <v>51</v>
      </c>
      <c r="O49" s="11" t="s">
        <v>27</v>
      </c>
      <c r="P49" s="11" t="s">
        <v>52</v>
      </c>
      <c r="Q49" s="12"/>
    </row>
    <row r="50" customFormat="false" ht="22.35" hidden="false" customHeight="false" outlineLevel="0" collapsed="false">
      <c r="A50" s="11" t="s">
        <v>255</v>
      </c>
      <c r="B50" s="11" t="s">
        <v>14</v>
      </c>
      <c r="C50" s="11" t="s">
        <v>68</v>
      </c>
      <c r="D50" s="12" t="s">
        <v>256</v>
      </c>
      <c r="E50" s="12" t="s">
        <v>257</v>
      </c>
      <c r="F50" s="12" t="s">
        <v>258</v>
      </c>
      <c r="G50" s="11" t="s">
        <v>72</v>
      </c>
      <c r="H50" s="11" t="s">
        <v>4</v>
      </c>
      <c r="I50" s="13" t="n">
        <v>1</v>
      </c>
      <c r="J50" s="11" t="s">
        <v>49</v>
      </c>
      <c r="K50" s="12" t="s">
        <v>175</v>
      </c>
      <c r="L50" s="12"/>
      <c r="M50" s="11" t="s">
        <v>50</v>
      </c>
      <c r="N50" s="12" t="s">
        <v>51</v>
      </c>
      <c r="O50" s="11" t="s">
        <v>27</v>
      </c>
      <c r="P50" s="11" t="s">
        <v>52</v>
      </c>
      <c r="Q50" s="12"/>
    </row>
    <row r="51" customFormat="false" ht="22.35" hidden="false" customHeight="false" outlineLevel="0" collapsed="false">
      <c r="A51" s="11" t="s">
        <v>259</v>
      </c>
      <c r="B51" s="11" t="s">
        <v>14</v>
      </c>
      <c r="C51" s="11" t="s">
        <v>68</v>
      </c>
      <c r="D51" s="12" t="s">
        <v>177</v>
      </c>
      <c r="E51" s="12" t="s">
        <v>260</v>
      </c>
      <c r="F51" s="12" t="s">
        <v>179</v>
      </c>
      <c r="G51" s="11" t="s">
        <v>72</v>
      </c>
      <c r="H51" s="11" t="s">
        <v>4</v>
      </c>
      <c r="I51" s="13" t="n">
        <v>1</v>
      </c>
      <c r="J51" s="11" t="s">
        <v>49</v>
      </c>
      <c r="K51" s="12" t="s">
        <v>180</v>
      </c>
      <c r="L51" s="12"/>
      <c r="M51" s="11" t="s">
        <v>50</v>
      </c>
      <c r="N51" s="12" t="s">
        <v>51</v>
      </c>
      <c r="O51" s="11" t="s">
        <v>27</v>
      </c>
      <c r="P51" s="11" t="s">
        <v>52</v>
      </c>
      <c r="Q51" s="12"/>
    </row>
    <row r="52" customFormat="false" ht="22.35" hidden="false" customHeight="false" outlineLevel="0" collapsed="false">
      <c r="A52" s="11" t="s">
        <v>261</v>
      </c>
      <c r="B52" s="11" t="s">
        <v>14</v>
      </c>
      <c r="C52" s="11" t="s">
        <v>68</v>
      </c>
      <c r="D52" s="12" t="s">
        <v>182</v>
      </c>
      <c r="E52" s="12" t="s">
        <v>262</v>
      </c>
      <c r="F52" s="12" t="s">
        <v>184</v>
      </c>
      <c r="G52" s="11" t="s">
        <v>72</v>
      </c>
      <c r="H52" s="11" t="s">
        <v>4</v>
      </c>
      <c r="I52" s="13" t="n">
        <v>1</v>
      </c>
      <c r="J52" s="11" t="s">
        <v>49</v>
      </c>
      <c r="K52" s="12" t="s">
        <v>263</v>
      </c>
      <c r="L52" s="12"/>
      <c r="M52" s="11" t="s">
        <v>50</v>
      </c>
      <c r="N52" s="12" t="s">
        <v>51</v>
      </c>
      <c r="O52" s="11" t="s">
        <v>27</v>
      </c>
      <c r="P52" s="11" t="s">
        <v>52</v>
      </c>
      <c r="Q52" s="12"/>
    </row>
    <row r="53" customFormat="false" ht="22.35" hidden="false" customHeight="false" outlineLevel="0" collapsed="false">
      <c r="A53" s="11" t="s">
        <v>264</v>
      </c>
      <c r="B53" s="11" t="s">
        <v>14</v>
      </c>
      <c r="C53" s="11" t="s">
        <v>68</v>
      </c>
      <c r="D53" s="12" t="s">
        <v>102</v>
      </c>
      <c r="E53" s="12" t="s">
        <v>265</v>
      </c>
      <c r="F53" s="12" t="s">
        <v>102</v>
      </c>
      <c r="G53" s="11" t="s">
        <v>48</v>
      </c>
      <c r="H53" s="11" t="s">
        <v>9</v>
      </c>
      <c r="I53" s="13"/>
      <c r="J53" s="11" t="s">
        <v>49</v>
      </c>
      <c r="K53" s="12" t="s">
        <v>121</v>
      </c>
      <c r="L53" s="12"/>
      <c r="M53" s="11" t="s">
        <v>50</v>
      </c>
      <c r="N53" s="12" t="s">
        <v>51</v>
      </c>
      <c r="O53" s="11" t="s">
        <v>28</v>
      </c>
      <c r="P53" s="11" t="s">
        <v>52</v>
      </c>
      <c r="Q53" s="12" t="s">
        <v>53</v>
      </c>
    </row>
    <row r="54" customFormat="false" ht="22.35" hidden="false" customHeight="false" outlineLevel="0" collapsed="false">
      <c r="A54" s="11" t="s">
        <v>266</v>
      </c>
      <c r="B54" s="11" t="s">
        <v>14</v>
      </c>
      <c r="C54" s="11" t="s">
        <v>68</v>
      </c>
      <c r="D54" s="12" t="s">
        <v>267</v>
      </c>
      <c r="E54" s="12" t="s">
        <v>268</v>
      </c>
      <c r="F54" s="12" t="s">
        <v>267</v>
      </c>
      <c r="G54" s="11" t="s">
        <v>59</v>
      </c>
      <c r="H54" s="11" t="s">
        <v>4</v>
      </c>
      <c r="I54" s="13"/>
      <c r="J54" s="11" t="s">
        <v>49</v>
      </c>
      <c r="K54" s="12" t="s">
        <v>121</v>
      </c>
      <c r="L54" s="12"/>
      <c r="M54" s="11" t="s">
        <v>50</v>
      </c>
      <c r="N54" s="12" t="s">
        <v>51</v>
      </c>
      <c r="O54" s="11" t="s">
        <v>27</v>
      </c>
      <c r="P54" s="11" t="s">
        <v>52</v>
      </c>
      <c r="Q54" s="12" t="s">
        <v>210</v>
      </c>
    </row>
    <row r="55" customFormat="false" ht="22.35" hidden="false" customHeight="false" outlineLevel="0" collapsed="false">
      <c r="A55" s="11" t="s">
        <v>269</v>
      </c>
      <c r="B55" s="11" t="s">
        <v>14</v>
      </c>
      <c r="C55" s="11" t="s">
        <v>68</v>
      </c>
      <c r="D55" s="12" t="s">
        <v>102</v>
      </c>
      <c r="E55" s="12" t="s">
        <v>270</v>
      </c>
      <c r="F55" s="12" t="s">
        <v>102</v>
      </c>
      <c r="G55" s="11" t="s">
        <v>48</v>
      </c>
      <c r="H55" s="11" t="s">
        <v>9</v>
      </c>
      <c r="I55" s="13"/>
      <c r="J55" s="11" t="s">
        <v>49</v>
      </c>
      <c r="K55" s="12" t="s">
        <v>121</v>
      </c>
      <c r="L55" s="12"/>
      <c r="M55" s="11" t="s">
        <v>50</v>
      </c>
      <c r="N55" s="12" t="s">
        <v>51</v>
      </c>
      <c r="O55" s="11" t="s">
        <v>28</v>
      </c>
      <c r="P55" s="11" t="s">
        <v>52</v>
      </c>
      <c r="Q55" s="12" t="s">
        <v>53</v>
      </c>
    </row>
    <row r="56" customFormat="false" ht="32.8" hidden="false" customHeight="false" outlineLevel="0" collapsed="false">
      <c r="A56" s="11" t="s">
        <v>271</v>
      </c>
      <c r="B56" s="11" t="s">
        <v>14</v>
      </c>
      <c r="C56" s="11" t="s">
        <v>68</v>
      </c>
      <c r="D56" s="12" t="s">
        <v>272</v>
      </c>
      <c r="E56" s="12" t="s">
        <v>273</v>
      </c>
      <c r="F56" s="12" t="s">
        <v>274</v>
      </c>
      <c r="G56" s="11" t="s">
        <v>72</v>
      </c>
      <c r="H56" s="11" t="s">
        <v>5</v>
      </c>
      <c r="I56" s="13" t="n">
        <v>0.346153846153846</v>
      </c>
      <c r="J56" s="11" t="s">
        <v>49</v>
      </c>
      <c r="K56" s="12" t="s">
        <v>275</v>
      </c>
      <c r="L56" s="12" t="s">
        <v>276</v>
      </c>
      <c r="M56" s="11" t="s">
        <v>50</v>
      </c>
      <c r="N56" s="12" t="s">
        <v>277</v>
      </c>
      <c r="O56" s="11" t="s">
        <v>25</v>
      </c>
      <c r="P56" s="11" t="s">
        <v>52</v>
      </c>
      <c r="Q56" s="12"/>
    </row>
    <row r="57" customFormat="false" ht="43.25" hidden="false" customHeight="false" outlineLevel="0" collapsed="false">
      <c r="A57" s="11" t="s">
        <v>278</v>
      </c>
      <c r="B57" s="11" t="s">
        <v>14</v>
      </c>
      <c r="C57" s="11" t="s">
        <v>68</v>
      </c>
      <c r="D57" s="12" t="s">
        <v>279</v>
      </c>
      <c r="E57" s="12" t="s">
        <v>280</v>
      </c>
      <c r="F57" s="12" t="s">
        <v>279</v>
      </c>
      <c r="G57" s="11" t="s">
        <v>72</v>
      </c>
      <c r="H57" s="11" t="s">
        <v>5</v>
      </c>
      <c r="I57" s="13" t="n">
        <v>0.333333333333333</v>
      </c>
      <c r="J57" s="11" t="s">
        <v>49</v>
      </c>
      <c r="K57" s="12" t="s">
        <v>281</v>
      </c>
      <c r="L57" s="12" t="s">
        <v>282</v>
      </c>
      <c r="M57" s="11" t="s">
        <v>50</v>
      </c>
      <c r="N57" s="12" t="s">
        <v>277</v>
      </c>
      <c r="O57" s="11" t="s">
        <v>25</v>
      </c>
      <c r="P57" s="11" t="s">
        <v>52</v>
      </c>
      <c r="Q57" s="12"/>
    </row>
    <row r="58" customFormat="false" ht="22.35" hidden="false" customHeight="false" outlineLevel="0" collapsed="false">
      <c r="A58" s="11" t="s">
        <v>283</v>
      </c>
      <c r="B58" s="11" t="s">
        <v>14</v>
      </c>
      <c r="C58" s="11" t="s">
        <v>68</v>
      </c>
      <c r="D58" s="12" t="s">
        <v>284</v>
      </c>
      <c r="E58" s="12" t="s">
        <v>285</v>
      </c>
      <c r="F58" s="12" t="s">
        <v>284</v>
      </c>
      <c r="G58" s="11" t="s">
        <v>72</v>
      </c>
      <c r="H58" s="11" t="s">
        <v>4</v>
      </c>
      <c r="I58" s="13"/>
      <c r="J58" s="11" t="s">
        <v>49</v>
      </c>
      <c r="K58" s="12" t="s">
        <v>121</v>
      </c>
      <c r="L58" s="12"/>
      <c r="M58" s="11" t="s">
        <v>50</v>
      </c>
      <c r="N58" s="12" t="s">
        <v>51</v>
      </c>
      <c r="O58" s="11" t="s">
        <v>27</v>
      </c>
      <c r="P58" s="11" t="s">
        <v>52</v>
      </c>
      <c r="Q58" s="12" t="s">
        <v>210</v>
      </c>
    </row>
    <row r="59" customFormat="false" ht="22.35" hidden="false" customHeight="false" outlineLevel="0" collapsed="false">
      <c r="A59" s="11" t="s">
        <v>286</v>
      </c>
      <c r="B59" s="11" t="s">
        <v>14</v>
      </c>
      <c r="C59" s="11" t="s">
        <v>68</v>
      </c>
      <c r="D59" s="12" t="s">
        <v>287</v>
      </c>
      <c r="E59" s="12" t="s">
        <v>288</v>
      </c>
      <c r="F59" s="12" t="s">
        <v>287</v>
      </c>
      <c r="G59" s="11" t="s">
        <v>72</v>
      </c>
      <c r="H59" s="11" t="s">
        <v>4</v>
      </c>
      <c r="I59" s="13"/>
      <c r="J59" s="11" t="s">
        <v>49</v>
      </c>
      <c r="K59" s="12" t="s">
        <v>121</v>
      </c>
      <c r="L59" s="12"/>
      <c r="M59" s="11" t="s">
        <v>50</v>
      </c>
      <c r="N59" s="12" t="s">
        <v>51</v>
      </c>
      <c r="O59" s="11" t="s">
        <v>27</v>
      </c>
      <c r="P59" s="11" t="s">
        <v>52</v>
      </c>
      <c r="Q59" s="12" t="s">
        <v>210</v>
      </c>
    </row>
    <row r="60" customFormat="false" ht="22.35" hidden="false" customHeight="false" outlineLevel="0" collapsed="false">
      <c r="A60" s="11" t="s">
        <v>289</v>
      </c>
      <c r="B60" s="11" t="s">
        <v>14</v>
      </c>
      <c r="C60" s="11" t="s">
        <v>68</v>
      </c>
      <c r="D60" s="12" t="s">
        <v>290</v>
      </c>
      <c r="E60" s="12" t="s">
        <v>291</v>
      </c>
      <c r="F60" s="12" t="s">
        <v>290</v>
      </c>
      <c r="G60" s="11" t="s">
        <v>59</v>
      </c>
      <c r="H60" s="11" t="s">
        <v>4</v>
      </c>
      <c r="I60" s="13"/>
      <c r="J60" s="11" t="s">
        <v>49</v>
      </c>
      <c r="K60" s="12" t="s">
        <v>121</v>
      </c>
      <c r="L60" s="12"/>
      <c r="M60" s="11" t="s">
        <v>50</v>
      </c>
      <c r="N60" s="12" t="s">
        <v>51</v>
      </c>
      <c r="O60" s="11" t="s">
        <v>27</v>
      </c>
      <c r="P60" s="11" t="s">
        <v>52</v>
      </c>
      <c r="Q60" s="12" t="s">
        <v>210</v>
      </c>
    </row>
    <row r="61" customFormat="false" ht="22.35" hidden="false" customHeight="false" outlineLevel="0" collapsed="false">
      <c r="A61" s="11" t="s">
        <v>292</v>
      </c>
      <c r="B61" s="11" t="s">
        <v>14</v>
      </c>
      <c r="C61" s="11" t="s">
        <v>68</v>
      </c>
      <c r="D61" s="12" t="s">
        <v>189</v>
      </c>
      <c r="E61" s="12" t="s">
        <v>293</v>
      </c>
      <c r="F61" s="12" t="s">
        <v>189</v>
      </c>
      <c r="G61" s="11" t="s">
        <v>48</v>
      </c>
      <c r="H61" s="11" t="s">
        <v>9</v>
      </c>
      <c r="I61" s="13"/>
      <c r="J61" s="11" t="s">
        <v>49</v>
      </c>
      <c r="K61" s="12" t="s">
        <v>121</v>
      </c>
      <c r="L61" s="12"/>
      <c r="M61" s="11" t="s">
        <v>50</v>
      </c>
      <c r="N61" s="12" t="s">
        <v>51</v>
      </c>
      <c r="O61" s="11" t="s">
        <v>28</v>
      </c>
      <c r="P61" s="11" t="s">
        <v>52</v>
      </c>
      <c r="Q61" s="12" t="s">
        <v>53</v>
      </c>
    </row>
    <row r="62" customFormat="false" ht="15" hidden="false" customHeight="false" outlineLevel="0" collapsed="false">
      <c r="A62" s="11" t="s">
        <v>294</v>
      </c>
      <c r="B62" s="11" t="s">
        <v>14</v>
      </c>
      <c r="C62" s="11" t="s">
        <v>68</v>
      </c>
      <c r="D62" s="12" t="s">
        <v>116</v>
      </c>
      <c r="E62" s="12" t="s">
        <v>295</v>
      </c>
      <c r="F62" s="12" t="s">
        <v>116</v>
      </c>
      <c r="G62" s="11" t="s">
        <v>48</v>
      </c>
      <c r="H62" s="11" t="s">
        <v>9</v>
      </c>
      <c r="I62" s="13"/>
      <c r="J62" s="11" t="s">
        <v>49</v>
      </c>
      <c r="K62" s="12" t="s">
        <v>121</v>
      </c>
      <c r="L62" s="12"/>
      <c r="M62" s="11" t="s">
        <v>50</v>
      </c>
      <c r="N62" s="12" t="s">
        <v>51</v>
      </c>
      <c r="O62" s="11" t="s">
        <v>28</v>
      </c>
      <c r="P62" s="11" t="s">
        <v>52</v>
      </c>
      <c r="Q62" s="12" t="s">
        <v>53</v>
      </c>
    </row>
    <row r="63" customFormat="false" ht="53.7" hidden="false" customHeight="false" outlineLevel="0" collapsed="false">
      <c r="A63" s="11" t="s">
        <v>296</v>
      </c>
      <c r="B63" s="11" t="s">
        <v>14</v>
      </c>
      <c r="C63" s="11" t="s">
        <v>68</v>
      </c>
      <c r="D63" s="12" t="s">
        <v>297</v>
      </c>
      <c r="E63" s="12" t="s">
        <v>298</v>
      </c>
      <c r="F63" s="12" t="s">
        <v>299</v>
      </c>
      <c r="G63" s="11" t="s">
        <v>72</v>
      </c>
      <c r="H63" s="11" t="s">
        <v>4</v>
      </c>
      <c r="I63" s="13" t="n">
        <v>0.675</v>
      </c>
      <c r="J63" s="11" t="s">
        <v>49</v>
      </c>
      <c r="K63" s="12" t="s">
        <v>300</v>
      </c>
      <c r="L63" s="12" t="s">
        <v>301</v>
      </c>
      <c r="M63" s="11" t="s">
        <v>50</v>
      </c>
      <c r="N63" s="12" t="s">
        <v>51</v>
      </c>
      <c r="O63" s="11" t="s">
        <v>27</v>
      </c>
      <c r="P63" s="11" t="s">
        <v>52</v>
      </c>
      <c r="Q63" s="12"/>
    </row>
    <row r="64" customFormat="false" ht="15" hidden="false" customHeight="false" outlineLevel="0" collapsed="false">
      <c r="A64" s="11" t="s">
        <v>302</v>
      </c>
      <c r="B64" s="11" t="s">
        <v>14</v>
      </c>
      <c r="C64" s="11" t="s">
        <v>68</v>
      </c>
      <c r="D64" s="12" t="s">
        <v>303</v>
      </c>
      <c r="E64" s="12" t="s">
        <v>304</v>
      </c>
      <c r="F64" s="12" t="s">
        <v>303</v>
      </c>
      <c r="G64" s="11" t="s">
        <v>72</v>
      </c>
      <c r="H64" s="11" t="s">
        <v>9</v>
      </c>
      <c r="I64" s="13"/>
      <c r="J64" s="11" t="s">
        <v>49</v>
      </c>
      <c r="K64" s="12"/>
      <c r="L64" s="12"/>
      <c r="M64" s="11" t="s">
        <v>50</v>
      </c>
      <c r="N64" s="12" t="s">
        <v>51</v>
      </c>
      <c r="O64" s="11" t="s">
        <v>28</v>
      </c>
      <c r="P64" s="11" t="s">
        <v>52</v>
      </c>
      <c r="Q64" s="12" t="s">
        <v>60</v>
      </c>
    </row>
    <row r="65" customFormat="false" ht="15" hidden="false" customHeight="false" outlineLevel="0" collapsed="false">
      <c r="A65" s="11" t="s">
        <v>305</v>
      </c>
      <c r="B65" s="11" t="s">
        <v>14</v>
      </c>
      <c r="C65" s="11" t="s">
        <v>68</v>
      </c>
      <c r="D65" s="12" t="s">
        <v>306</v>
      </c>
      <c r="E65" s="12" t="s">
        <v>307</v>
      </c>
      <c r="F65" s="12" t="s">
        <v>306</v>
      </c>
      <c r="G65" s="11" t="s">
        <v>72</v>
      </c>
      <c r="H65" s="11" t="s">
        <v>9</v>
      </c>
      <c r="I65" s="13"/>
      <c r="J65" s="11" t="s">
        <v>49</v>
      </c>
      <c r="K65" s="12"/>
      <c r="L65" s="12"/>
      <c r="M65" s="11" t="s">
        <v>50</v>
      </c>
      <c r="N65" s="12" t="s">
        <v>51</v>
      </c>
      <c r="O65" s="11" t="s">
        <v>28</v>
      </c>
      <c r="P65" s="11" t="s">
        <v>52</v>
      </c>
      <c r="Q65" s="12" t="s">
        <v>60</v>
      </c>
    </row>
    <row r="66" customFormat="false" ht="15" hidden="false" customHeight="false" outlineLevel="0" collapsed="false">
      <c r="A66" s="11" t="s">
        <v>308</v>
      </c>
      <c r="B66" s="11" t="s">
        <v>14</v>
      </c>
      <c r="C66" s="11" t="s">
        <v>68</v>
      </c>
      <c r="D66" s="12" t="s">
        <v>93</v>
      </c>
      <c r="E66" s="12" t="s">
        <v>309</v>
      </c>
      <c r="F66" s="12" t="s">
        <v>93</v>
      </c>
      <c r="G66" s="11" t="s">
        <v>48</v>
      </c>
      <c r="H66" s="11" t="s">
        <v>9</v>
      </c>
      <c r="I66" s="13"/>
      <c r="J66" s="11" t="s">
        <v>49</v>
      </c>
      <c r="K66" s="12"/>
      <c r="L66" s="12"/>
      <c r="M66" s="11" t="s">
        <v>50</v>
      </c>
      <c r="N66" s="12" t="s">
        <v>51</v>
      </c>
      <c r="O66" s="11" t="s">
        <v>28</v>
      </c>
      <c r="P66" s="11" t="s">
        <v>52</v>
      </c>
      <c r="Q66" s="12" t="s">
        <v>53</v>
      </c>
    </row>
    <row r="67" customFormat="false" ht="15" hidden="false" customHeight="false" outlineLevel="0" collapsed="false">
      <c r="A67" s="11" t="s">
        <v>310</v>
      </c>
      <c r="B67" s="11" t="s">
        <v>14</v>
      </c>
      <c r="C67" s="11" t="s">
        <v>68</v>
      </c>
      <c r="D67" s="12" t="s">
        <v>74</v>
      </c>
      <c r="E67" s="12" t="s">
        <v>311</v>
      </c>
      <c r="F67" s="12" t="s">
        <v>74</v>
      </c>
      <c r="G67" s="11" t="s">
        <v>72</v>
      </c>
      <c r="H67" s="11" t="s">
        <v>9</v>
      </c>
      <c r="I67" s="13"/>
      <c r="J67" s="11" t="s">
        <v>49</v>
      </c>
      <c r="K67" s="12"/>
      <c r="L67" s="12"/>
      <c r="M67" s="11" t="s">
        <v>50</v>
      </c>
      <c r="N67" s="12" t="s">
        <v>51</v>
      </c>
      <c r="O67" s="11" t="s">
        <v>28</v>
      </c>
      <c r="P67" s="11" t="s">
        <v>52</v>
      </c>
      <c r="Q67" s="12" t="s">
        <v>60</v>
      </c>
    </row>
    <row r="68" customFormat="false" ht="15" hidden="false" customHeight="false" outlineLevel="0" collapsed="false">
      <c r="A68" s="11" t="s">
        <v>312</v>
      </c>
      <c r="B68" s="11" t="s">
        <v>14</v>
      </c>
      <c r="C68" s="11" t="s">
        <v>68</v>
      </c>
      <c r="D68" s="12" t="s">
        <v>313</v>
      </c>
      <c r="E68" s="12" t="s">
        <v>314</v>
      </c>
      <c r="F68" s="12" t="s">
        <v>313</v>
      </c>
      <c r="G68" s="11" t="s">
        <v>72</v>
      </c>
      <c r="H68" s="11" t="s">
        <v>9</v>
      </c>
      <c r="I68" s="13"/>
      <c r="J68" s="11" t="s">
        <v>49</v>
      </c>
      <c r="K68" s="12"/>
      <c r="L68" s="12"/>
      <c r="M68" s="11" t="s">
        <v>50</v>
      </c>
      <c r="N68" s="12" t="s">
        <v>51</v>
      </c>
      <c r="O68" s="11" t="s">
        <v>28</v>
      </c>
      <c r="P68" s="11" t="s">
        <v>52</v>
      </c>
      <c r="Q68" s="12" t="s">
        <v>60</v>
      </c>
    </row>
    <row r="69" customFormat="false" ht="15" hidden="false" customHeight="false" outlineLevel="0" collapsed="false">
      <c r="A69" s="11" t="s">
        <v>315</v>
      </c>
      <c r="B69" s="11" t="s">
        <v>14</v>
      </c>
      <c r="C69" s="11" t="s">
        <v>68</v>
      </c>
      <c r="D69" s="12" t="s">
        <v>182</v>
      </c>
      <c r="E69" s="12" t="s">
        <v>316</v>
      </c>
      <c r="F69" s="12" t="s">
        <v>182</v>
      </c>
      <c r="G69" s="11" t="s">
        <v>72</v>
      </c>
      <c r="H69" s="11" t="s">
        <v>9</v>
      </c>
      <c r="I69" s="13"/>
      <c r="J69" s="11" t="s">
        <v>49</v>
      </c>
      <c r="K69" s="12"/>
      <c r="L69" s="12"/>
      <c r="M69" s="11" t="s">
        <v>50</v>
      </c>
      <c r="N69" s="12" t="s">
        <v>51</v>
      </c>
      <c r="O69" s="11" t="s">
        <v>28</v>
      </c>
      <c r="P69" s="11" t="s">
        <v>52</v>
      </c>
      <c r="Q69" s="12" t="s">
        <v>60</v>
      </c>
    </row>
    <row r="70" customFormat="false" ht="15" hidden="false" customHeight="false" outlineLevel="0" collapsed="false">
      <c r="A70" s="11" t="s">
        <v>317</v>
      </c>
      <c r="B70" s="11" t="s">
        <v>14</v>
      </c>
      <c r="C70" s="11" t="s">
        <v>68</v>
      </c>
      <c r="D70" s="12" t="s">
        <v>102</v>
      </c>
      <c r="E70" s="12" t="s">
        <v>318</v>
      </c>
      <c r="F70" s="12" t="s">
        <v>102</v>
      </c>
      <c r="G70" s="11" t="s">
        <v>48</v>
      </c>
      <c r="H70" s="11" t="s">
        <v>9</v>
      </c>
      <c r="I70" s="13"/>
      <c r="J70" s="11" t="s">
        <v>49</v>
      </c>
      <c r="K70" s="12"/>
      <c r="L70" s="12"/>
      <c r="M70" s="11" t="s">
        <v>50</v>
      </c>
      <c r="N70" s="12" t="s">
        <v>51</v>
      </c>
      <c r="O70" s="11" t="s">
        <v>28</v>
      </c>
      <c r="P70" s="11" t="s">
        <v>52</v>
      </c>
      <c r="Q70" s="12" t="s">
        <v>53</v>
      </c>
    </row>
    <row r="71" customFormat="false" ht="22.35" hidden="false" customHeight="false" outlineLevel="0" collapsed="false">
      <c r="A71" s="11" t="s">
        <v>319</v>
      </c>
      <c r="B71" s="11" t="s">
        <v>14</v>
      </c>
      <c r="C71" s="11" t="s">
        <v>68</v>
      </c>
      <c r="D71" s="12" t="s">
        <v>80</v>
      </c>
      <c r="E71" s="12" t="s">
        <v>320</v>
      </c>
      <c r="F71" s="12" t="s">
        <v>80</v>
      </c>
      <c r="G71" s="11" t="s">
        <v>72</v>
      </c>
      <c r="H71" s="11" t="s">
        <v>4</v>
      </c>
      <c r="I71" s="13" t="n">
        <v>0.916666666666667</v>
      </c>
      <c r="J71" s="11" t="s">
        <v>49</v>
      </c>
      <c r="K71" s="12" t="s">
        <v>321</v>
      </c>
      <c r="L71" s="12" t="s">
        <v>322</v>
      </c>
      <c r="M71" s="11" t="s">
        <v>50</v>
      </c>
      <c r="N71" s="12" t="s">
        <v>51</v>
      </c>
      <c r="O71" s="11" t="s">
        <v>27</v>
      </c>
      <c r="P71" s="11" t="s">
        <v>52</v>
      </c>
      <c r="Q71" s="12"/>
    </row>
    <row r="72" customFormat="false" ht="22.35" hidden="false" customHeight="false" outlineLevel="0" collapsed="false">
      <c r="A72" s="11" t="s">
        <v>323</v>
      </c>
      <c r="B72" s="11" t="s">
        <v>14</v>
      </c>
      <c r="C72" s="11" t="s">
        <v>68</v>
      </c>
      <c r="D72" s="12" t="s">
        <v>85</v>
      </c>
      <c r="E72" s="12" t="s">
        <v>324</v>
      </c>
      <c r="F72" s="12" t="s">
        <v>87</v>
      </c>
      <c r="G72" s="11" t="s">
        <v>72</v>
      </c>
      <c r="H72" s="11" t="s">
        <v>4</v>
      </c>
      <c r="I72" s="13" t="n">
        <v>0.866666666666667</v>
      </c>
      <c r="J72" s="11" t="s">
        <v>49</v>
      </c>
      <c r="K72" s="12" t="s">
        <v>88</v>
      </c>
      <c r="L72" s="12" t="s">
        <v>89</v>
      </c>
      <c r="M72" s="11" t="s">
        <v>50</v>
      </c>
      <c r="N72" s="12" t="s">
        <v>51</v>
      </c>
      <c r="O72" s="11" t="s">
        <v>27</v>
      </c>
      <c r="P72" s="11" t="s">
        <v>52</v>
      </c>
      <c r="Q72" s="12"/>
    </row>
    <row r="73" customFormat="false" ht="15" hidden="false" customHeight="false" outlineLevel="0" collapsed="false">
      <c r="A73" s="11" t="s">
        <v>325</v>
      </c>
      <c r="B73" s="11" t="s">
        <v>14</v>
      </c>
      <c r="C73" s="11" t="s">
        <v>68</v>
      </c>
      <c r="D73" s="12" t="s">
        <v>116</v>
      </c>
      <c r="E73" s="12" t="s">
        <v>326</v>
      </c>
      <c r="F73" s="12" t="s">
        <v>116</v>
      </c>
      <c r="G73" s="11" t="s">
        <v>48</v>
      </c>
      <c r="H73" s="11" t="s">
        <v>9</v>
      </c>
      <c r="I73" s="13"/>
      <c r="J73" s="11" t="s">
        <v>49</v>
      </c>
      <c r="K73" s="12"/>
      <c r="L73" s="12"/>
      <c r="M73" s="11" t="s">
        <v>50</v>
      </c>
      <c r="N73" s="12" t="s">
        <v>51</v>
      </c>
      <c r="O73" s="11" t="s">
        <v>28</v>
      </c>
      <c r="P73" s="11" t="s">
        <v>52</v>
      </c>
      <c r="Q73" s="12" t="s">
        <v>53</v>
      </c>
    </row>
    <row r="74" customFormat="false" ht="15" hidden="false" customHeight="false" outlineLevel="0" collapsed="false">
      <c r="A74" s="11" t="s">
        <v>327</v>
      </c>
      <c r="B74" s="11" t="s">
        <v>14</v>
      </c>
      <c r="C74" s="11" t="s">
        <v>68</v>
      </c>
      <c r="D74" s="12" t="s">
        <v>328</v>
      </c>
      <c r="E74" s="12" t="s">
        <v>329</v>
      </c>
      <c r="F74" s="12" t="s">
        <v>328</v>
      </c>
      <c r="G74" s="11" t="s">
        <v>72</v>
      </c>
      <c r="H74" s="11" t="s">
        <v>9</v>
      </c>
      <c r="I74" s="13"/>
      <c r="J74" s="11" t="s">
        <v>49</v>
      </c>
      <c r="K74" s="12"/>
      <c r="L74" s="12"/>
      <c r="M74" s="11" t="s">
        <v>50</v>
      </c>
      <c r="N74" s="12" t="s">
        <v>51</v>
      </c>
      <c r="O74" s="11" t="s">
        <v>28</v>
      </c>
      <c r="P74" s="11" t="s">
        <v>52</v>
      </c>
      <c r="Q74" s="12" t="s">
        <v>60</v>
      </c>
    </row>
    <row r="75" customFormat="false" ht="15" hidden="false" customHeight="false" outlineLevel="0" collapsed="false">
      <c r="A75" s="11" t="s">
        <v>330</v>
      </c>
      <c r="B75" s="11" t="s">
        <v>14</v>
      </c>
      <c r="C75" s="11" t="s">
        <v>68</v>
      </c>
      <c r="D75" s="12" t="s">
        <v>62</v>
      </c>
      <c r="E75" s="12" t="s">
        <v>331</v>
      </c>
      <c r="F75" s="12" t="s">
        <v>62</v>
      </c>
      <c r="G75" s="11" t="s">
        <v>48</v>
      </c>
      <c r="H75" s="11" t="s">
        <v>9</v>
      </c>
      <c r="I75" s="13"/>
      <c r="J75" s="11" t="s">
        <v>49</v>
      </c>
      <c r="K75" s="12"/>
      <c r="L75" s="12"/>
      <c r="M75" s="11" t="s">
        <v>50</v>
      </c>
      <c r="N75" s="12" t="s">
        <v>51</v>
      </c>
      <c r="O75" s="11" t="s">
        <v>28</v>
      </c>
      <c r="P75" s="11" t="s">
        <v>52</v>
      </c>
      <c r="Q75" s="12" t="s">
        <v>53</v>
      </c>
    </row>
    <row r="76" customFormat="false" ht="15" hidden="false" customHeight="false" outlineLevel="0" collapsed="false">
      <c r="A76" s="11" t="s">
        <v>332</v>
      </c>
      <c r="B76" s="11" t="s">
        <v>14</v>
      </c>
      <c r="C76" s="11" t="s">
        <v>68</v>
      </c>
      <c r="D76" s="12" t="s">
        <v>93</v>
      </c>
      <c r="E76" s="12" t="s">
        <v>333</v>
      </c>
      <c r="F76" s="12" t="s">
        <v>93</v>
      </c>
      <c r="G76" s="11" t="s">
        <v>48</v>
      </c>
      <c r="H76" s="11" t="s">
        <v>9</v>
      </c>
      <c r="I76" s="13"/>
      <c r="J76" s="11" t="s">
        <v>49</v>
      </c>
      <c r="K76" s="12"/>
      <c r="L76" s="12"/>
      <c r="M76" s="11" t="s">
        <v>50</v>
      </c>
      <c r="N76" s="12" t="s">
        <v>51</v>
      </c>
      <c r="O76" s="11" t="s">
        <v>28</v>
      </c>
      <c r="P76" s="11" t="s">
        <v>52</v>
      </c>
      <c r="Q76" s="12" t="s">
        <v>53</v>
      </c>
    </row>
    <row r="77" customFormat="false" ht="15" hidden="false" customHeight="false" outlineLevel="0" collapsed="false">
      <c r="A77" s="11" t="s">
        <v>334</v>
      </c>
      <c r="B77" s="11" t="s">
        <v>14</v>
      </c>
      <c r="C77" s="11" t="s">
        <v>68</v>
      </c>
      <c r="D77" s="12" t="s">
        <v>74</v>
      </c>
      <c r="E77" s="12" t="s">
        <v>335</v>
      </c>
      <c r="F77" s="12" t="s">
        <v>74</v>
      </c>
      <c r="G77" s="11" t="s">
        <v>72</v>
      </c>
      <c r="H77" s="11" t="s">
        <v>9</v>
      </c>
      <c r="I77" s="13"/>
      <c r="J77" s="11" t="s">
        <v>49</v>
      </c>
      <c r="K77" s="12"/>
      <c r="L77" s="12"/>
      <c r="M77" s="11" t="s">
        <v>50</v>
      </c>
      <c r="N77" s="12" t="s">
        <v>51</v>
      </c>
      <c r="O77" s="11" t="s">
        <v>28</v>
      </c>
      <c r="P77" s="11" t="s">
        <v>52</v>
      </c>
      <c r="Q77" s="12" t="s">
        <v>60</v>
      </c>
    </row>
    <row r="78" customFormat="false" ht="15" hidden="false" customHeight="false" outlineLevel="0" collapsed="false">
      <c r="A78" s="11" t="s">
        <v>336</v>
      </c>
      <c r="B78" s="11" t="s">
        <v>14</v>
      </c>
      <c r="C78" s="11" t="s">
        <v>68</v>
      </c>
      <c r="D78" s="12" t="s">
        <v>98</v>
      </c>
      <c r="E78" s="12" t="s">
        <v>337</v>
      </c>
      <c r="F78" s="12" t="s">
        <v>98</v>
      </c>
      <c r="G78" s="11" t="s">
        <v>72</v>
      </c>
      <c r="H78" s="11" t="s">
        <v>4</v>
      </c>
      <c r="I78" s="13" t="n">
        <v>1</v>
      </c>
      <c r="J78" s="11" t="s">
        <v>49</v>
      </c>
      <c r="K78" s="12" t="s">
        <v>100</v>
      </c>
      <c r="L78" s="12"/>
      <c r="M78" s="11" t="s">
        <v>50</v>
      </c>
      <c r="N78" s="12" t="s">
        <v>51</v>
      </c>
      <c r="O78" s="11" t="s">
        <v>27</v>
      </c>
      <c r="P78" s="11" t="s">
        <v>52</v>
      </c>
      <c r="Q78" s="12"/>
    </row>
    <row r="79" customFormat="false" ht="15" hidden="false" customHeight="false" outlineLevel="0" collapsed="false">
      <c r="A79" s="11" t="s">
        <v>338</v>
      </c>
      <c r="B79" s="11" t="s">
        <v>14</v>
      </c>
      <c r="C79" s="11" t="s">
        <v>68</v>
      </c>
      <c r="D79" s="12" t="s">
        <v>102</v>
      </c>
      <c r="E79" s="12" t="s">
        <v>339</v>
      </c>
      <c r="F79" s="12" t="s">
        <v>102</v>
      </c>
      <c r="G79" s="11" t="s">
        <v>48</v>
      </c>
      <c r="H79" s="11" t="s">
        <v>9</v>
      </c>
      <c r="I79" s="13"/>
      <c r="J79" s="11" t="s">
        <v>49</v>
      </c>
      <c r="K79" s="12"/>
      <c r="L79" s="12"/>
      <c r="M79" s="11" t="s">
        <v>50</v>
      </c>
      <c r="N79" s="12" t="s">
        <v>51</v>
      </c>
      <c r="O79" s="11" t="s">
        <v>28</v>
      </c>
      <c r="P79" s="11" t="s">
        <v>52</v>
      </c>
      <c r="Q79" s="12" t="s">
        <v>53</v>
      </c>
    </row>
    <row r="80" customFormat="false" ht="15" hidden="false" customHeight="false" outlineLevel="0" collapsed="false">
      <c r="A80" s="11" t="s">
        <v>340</v>
      </c>
      <c r="B80" s="11" t="s">
        <v>14</v>
      </c>
      <c r="C80" s="11" t="s">
        <v>68</v>
      </c>
      <c r="D80" s="12" t="s">
        <v>105</v>
      </c>
      <c r="E80" s="12" t="s">
        <v>341</v>
      </c>
      <c r="F80" s="12" t="s">
        <v>105</v>
      </c>
      <c r="G80" s="11" t="s">
        <v>72</v>
      </c>
      <c r="H80" s="11" t="s">
        <v>9</v>
      </c>
      <c r="I80" s="13"/>
      <c r="J80" s="11" t="s">
        <v>49</v>
      </c>
      <c r="K80" s="12" t="s">
        <v>107</v>
      </c>
      <c r="L80" s="12"/>
      <c r="M80" s="11" t="s">
        <v>50</v>
      </c>
      <c r="N80" s="12" t="s">
        <v>51</v>
      </c>
      <c r="O80" s="11" t="s">
        <v>28</v>
      </c>
      <c r="P80" s="11" t="s">
        <v>52</v>
      </c>
      <c r="Q80" s="12" t="s">
        <v>60</v>
      </c>
    </row>
    <row r="81" customFormat="false" ht="22.35" hidden="false" customHeight="false" outlineLevel="0" collapsed="false">
      <c r="A81" s="11" t="s">
        <v>342</v>
      </c>
      <c r="B81" s="11" t="s">
        <v>14</v>
      </c>
      <c r="C81" s="11" t="s">
        <v>68</v>
      </c>
      <c r="D81" s="12" t="s">
        <v>109</v>
      </c>
      <c r="E81" s="12" t="s">
        <v>343</v>
      </c>
      <c r="F81" s="12" t="s">
        <v>109</v>
      </c>
      <c r="G81" s="11" t="s">
        <v>72</v>
      </c>
      <c r="H81" s="11" t="s">
        <v>4</v>
      </c>
      <c r="I81" s="13" t="n">
        <v>1</v>
      </c>
      <c r="J81" s="11" t="s">
        <v>49</v>
      </c>
      <c r="K81" s="12" t="s">
        <v>111</v>
      </c>
      <c r="L81" s="12"/>
      <c r="M81" s="11" t="s">
        <v>50</v>
      </c>
      <c r="N81" s="12" t="s">
        <v>51</v>
      </c>
      <c r="O81" s="11" t="s">
        <v>27</v>
      </c>
      <c r="P81" s="11" t="s">
        <v>52</v>
      </c>
      <c r="Q81" s="12"/>
    </row>
    <row r="82" customFormat="false" ht="15" hidden="false" customHeight="false" outlineLevel="0" collapsed="false">
      <c r="A82" s="11" t="s">
        <v>344</v>
      </c>
      <c r="B82" s="11" t="s">
        <v>14</v>
      </c>
      <c r="C82" s="11" t="s">
        <v>68</v>
      </c>
      <c r="D82" s="12" t="s">
        <v>113</v>
      </c>
      <c r="E82" s="12" t="s">
        <v>345</v>
      </c>
      <c r="F82" s="12" t="s">
        <v>113</v>
      </c>
      <c r="G82" s="11" t="s">
        <v>48</v>
      </c>
      <c r="H82" s="11" t="s">
        <v>9</v>
      </c>
      <c r="I82" s="13"/>
      <c r="J82" s="11" t="s">
        <v>49</v>
      </c>
      <c r="K82" s="12"/>
      <c r="L82" s="12"/>
      <c r="M82" s="11" t="s">
        <v>50</v>
      </c>
      <c r="N82" s="12" t="s">
        <v>51</v>
      </c>
      <c r="O82" s="11" t="s">
        <v>28</v>
      </c>
      <c r="P82" s="11" t="s">
        <v>52</v>
      </c>
      <c r="Q82" s="12" t="s">
        <v>53</v>
      </c>
    </row>
    <row r="83" customFormat="false" ht="15" hidden="false" customHeight="false" outlineLevel="0" collapsed="false">
      <c r="A83" s="11" t="s">
        <v>346</v>
      </c>
      <c r="B83" s="11" t="s">
        <v>14</v>
      </c>
      <c r="C83" s="11" t="s">
        <v>68</v>
      </c>
      <c r="D83" s="12" t="s">
        <v>116</v>
      </c>
      <c r="E83" s="12" t="s">
        <v>347</v>
      </c>
      <c r="F83" s="12" t="s">
        <v>116</v>
      </c>
      <c r="G83" s="11" t="s">
        <v>48</v>
      </c>
      <c r="H83" s="11" t="s">
        <v>9</v>
      </c>
      <c r="I83" s="13"/>
      <c r="J83" s="11" t="s">
        <v>49</v>
      </c>
      <c r="K83" s="12"/>
      <c r="L83" s="12"/>
      <c r="M83" s="11" t="s">
        <v>50</v>
      </c>
      <c r="N83" s="12" t="s">
        <v>51</v>
      </c>
      <c r="O83" s="11" t="s">
        <v>28</v>
      </c>
      <c r="P83" s="11" t="s">
        <v>52</v>
      </c>
      <c r="Q83" s="12" t="s">
        <v>53</v>
      </c>
    </row>
    <row r="84" customFormat="false" ht="15" hidden="false" customHeight="false" outlineLevel="0" collapsed="false">
      <c r="A84" s="11" t="s">
        <v>348</v>
      </c>
      <c r="B84" s="11" t="s">
        <v>14</v>
      </c>
      <c r="C84" s="11" t="s">
        <v>68</v>
      </c>
      <c r="D84" s="12" t="s">
        <v>349</v>
      </c>
      <c r="E84" s="12" t="s">
        <v>350</v>
      </c>
      <c r="F84" s="12" t="s">
        <v>349</v>
      </c>
      <c r="G84" s="11" t="s">
        <v>48</v>
      </c>
      <c r="H84" s="11" t="s">
        <v>9</v>
      </c>
      <c r="I84" s="13"/>
      <c r="J84" s="11" t="s">
        <v>49</v>
      </c>
      <c r="K84" s="12"/>
      <c r="L84" s="12"/>
      <c r="M84" s="11" t="s">
        <v>50</v>
      </c>
      <c r="N84" s="12" t="s">
        <v>51</v>
      </c>
      <c r="O84" s="11" t="s">
        <v>28</v>
      </c>
      <c r="P84" s="11" t="s">
        <v>52</v>
      </c>
      <c r="Q84" s="12" t="s">
        <v>53</v>
      </c>
    </row>
    <row r="85" customFormat="false" ht="32.8" hidden="false" customHeight="false" outlineLevel="0" collapsed="false">
      <c r="A85" s="11" t="s">
        <v>351</v>
      </c>
      <c r="B85" s="11" t="s">
        <v>14</v>
      </c>
      <c r="C85" s="11" t="s">
        <v>68</v>
      </c>
      <c r="D85" s="12" t="s">
        <v>352</v>
      </c>
      <c r="E85" s="12" t="s">
        <v>353</v>
      </c>
      <c r="F85" s="12" t="s">
        <v>354</v>
      </c>
      <c r="G85" s="11" t="s">
        <v>72</v>
      </c>
      <c r="H85" s="11" t="s">
        <v>5</v>
      </c>
      <c r="I85" s="13" t="n">
        <v>0.333333333333333</v>
      </c>
      <c r="J85" s="11" t="s">
        <v>49</v>
      </c>
      <c r="K85" s="12" t="s">
        <v>355</v>
      </c>
      <c r="L85" s="12" t="s">
        <v>356</v>
      </c>
      <c r="M85" s="11" t="s">
        <v>50</v>
      </c>
      <c r="N85" s="12" t="s">
        <v>277</v>
      </c>
      <c r="O85" s="11" t="s">
        <v>25</v>
      </c>
      <c r="P85" s="11" t="s">
        <v>52</v>
      </c>
      <c r="Q85" s="12"/>
    </row>
    <row r="86" customFormat="false" ht="32.8" hidden="false" customHeight="false" outlineLevel="0" collapsed="false">
      <c r="A86" s="11" t="s">
        <v>357</v>
      </c>
      <c r="B86" s="11" t="s">
        <v>14</v>
      </c>
      <c r="C86" s="11" t="s">
        <v>68</v>
      </c>
      <c r="D86" s="12" t="s">
        <v>358</v>
      </c>
      <c r="E86" s="12" t="s">
        <v>359</v>
      </c>
      <c r="F86" s="12" t="s">
        <v>354</v>
      </c>
      <c r="G86" s="11" t="s">
        <v>72</v>
      </c>
      <c r="H86" s="11" t="s">
        <v>5</v>
      </c>
      <c r="I86" s="13" t="n">
        <v>0.545454545454545</v>
      </c>
      <c r="J86" s="11" t="s">
        <v>49</v>
      </c>
      <c r="K86" s="12" t="s">
        <v>360</v>
      </c>
      <c r="L86" s="12" t="s">
        <v>361</v>
      </c>
      <c r="M86" s="11" t="s">
        <v>50</v>
      </c>
      <c r="N86" s="12" t="s">
        <v>277</v>
      </c>
      <c r="O86" s="11" t="s">
        <v>25</v>
      </c>
      <c r="P86" s="11" t="s">
        <v>52</v>
      </c>
      <c r="Q86" s="12"/>
    </row>
    <row r="87" customFormat="false" ht="22.35" hidden="false" customHeight="false" outlineLevel="0" collapsed="false">
      <c r="A87" s="11" t="s">
        <v>362</v>
      </c>
      <c r="B87" s="11" t="s">
        <v>14</v>
      </c>
      <c r="C87" s="11" t="s">
        <v>68</v>
      </c>
      <c r="D87" s="12" t="s">
        <v>363</v>
      </c>
      <c r="E87" s="12" t="s">
        <v>364</v>
      </c>
      <c r="F87" s="12" t="s">
        <v>365</v>
      </c>
      <c r="G87" s="11" t="s">
        <v>72</v>
      </c>
      <c r="H87" s="11" t="s">
        <v>4</v>
      </c>
      <c r="I87" s="13" t="n">
        <v>0.818181818181818</v>
      </c>
      <c r="J87" s="11" t="s">
        <v>49</v>
      </c>
      <c r="K87" s="12" t="s">
        <v>366</v>
      </c>
      <c r="L87" s="12" t="s">
        <v>367</v>
      </c>
      <c r="M87" s="11" t="s">
        <v>50</v>
      </c>
      <c r="N87" s="12" t="s">
        <v>51</v>
      </c>
      <c r="O87" s="11" t="s">
        <v>27</v>
      </c>
      <c r="P87" s="11" t="s">
        <v>52</v>
      </c>
      <c r="Q87" s="12"/>
    </row>
    <row r="88" customFormat="false" ht="22.35" hidden="false" customHeight="false" outlineLevel="0" collapsed="false">
      <c r="A88" s="11" t="s">
        <v>368</v>
      </c>
      <c r="B88" s="11" t="s">
        <v>14</v>
      </c>
      <c r="C88" s="11" t="s">
        <v>68</v>
      </c>
      <c r="D88" s="12" t="s">
        <v>369</v>
      </c>
      <c r="E88" s="12" t="s">
        <v>370</v>
      </c>
      <c r="F88" s="12" t="s">
        <v>371</v>
      </c>
      <c r="G88" s="11" t="s">
        <v>72</v>
      </c>
      <c r="H88" s="11" t="s">
        <v>4</v>
      </c>
      <c r="I88" s="13" t="n">
        <v>0.777777777777778</v>
      </c>
      <c r="J88" s="11" t="s">
        <v>49</v>
      </c>
      <c r="K88" s="12" t="s">
        <v>372</v>
      </c>
      <c r="L88" s="12" t="s">
        <v>373</v>
      </c>
      <c r="M88" s="11" t="s">
        <v>50</v>
      </c>
      <c r="N88" s="12" t="s">
        <v>51</v>
      </c>
      <c r="O88" s="11" t="s">
        <v>27</v>
      </c>
      <c r="P88" s="11" t="s">
        <v>52</v>
      </c>
      <c r="Q88" s="12"/>
    </row>
    <row r="89" customFormat="false" ht="15" hidden="false" customHeight="false" outlineLevel="0" collapsed="false">
      <c r="A89" s="11" t="s">
        <v>374</v>
      </c>
      <c r="B89" s="11" t="s">
        <v>14</v>
      </c>
      <c r="C89" s="11" t="s">
        <v>68</v>
      </c>
      <c r="D89" s="12" t="s">
        <v>375</v>
      </c>
      <c r="E89" s="12" t="s">
        <v>376</v>
      </c>
      <c r="F89" s="12" t="s">
        <v>375</v>
      </c>
      <c r="G89" s="11" t="s">
        <v>48</v>
      </c>
      <c r="H89" s="11" t="s">
        <v>9</v>
      </c>
      <c r="I89" s="13"/>
      <c r="J89" s="11" t="s">
        <v>49</v>
      </c>
      <c r="K89" s="12"/>
      <c r="L89" s="12"/>
      <c r="M89" s="11" t="s">
        <v>50</v>
      </c>
      <c r="N89" s="12" t="s">
        <v>51</v>
      </c>
      <c r="O89" s="11" t="s">
        <v>28</v>
      </c>
      <c r="P89" s="11" t="s">
        <v>52</v>
      </c>
      <c r="Q89" s="12" t="s">
        <v>53</v>
      </c>
    </row>
    <row r="90" customFormat="false" ht="22.35" hidden="false" customHeight="false" outlineLevel="0" collapsed="false">
      <c r="A90" s="11" t="s">
        <v>377</v>
      </c>
      <c r="B90" s="11" t="s">
        <v>14</v>
      </c>
      <c r="C90" s="11" t="s">
        <v>46</v>
      </c>
      <c r="D90" s="12" t="s">
        <v>378</v>
      </c>
      <c r="E90" s="12" t="s">
        <v>378</v>
      </c>
      <c r="F90" s="12" t="s">
        <v>379</v>
      </c>
      <c r="G90" s="11" t="s">
        <v>59</v>
      </c>
      <c r="H90" s="11" t="s">
        <v>4</v>
      </c>
      <c r="I90" s="13" t="n">
        <v>1</v>
      </c>
      <c r="J90" s="11" t="s">
        <v>49</v>
      </c>
      <c r="K90" s="12" t="s">
        <v>380</v>
      </c>
      <c r="L90" s="12"/>
      <c r="M90" s="11" t="s">
        <v>50</v>
      </c>
      <c r="N90" s="12" t="s">
        <v>51</v>
      </c>
      <c r="O90" s="11" t="s">
        <v>27</v>
      </c>
      <c r="P90" s="11" t="s">
        <v>52</v>
      </c>
      <c r="Q90" s="12"/>
    </row>
    <row r="91" customFormat="false" ht="22.35" hidden="false" customHeight="false" outlineLevel="0" collapsed="false">
      <c r="A91" s="11" t="s">
        <v>381</v>
      </c>
      <c r="B91" s="11" t="s">
        <v>14</v>
      </c>
      <c r="C91" s="11" t="s">
        <v>46</v>
      </c>
      <c r="D91" s="12" t="s">
        <v>382</v>
      </c>
      <c r="E91" s="12" t="s">
        <v>382</v>
      </c>
      <c r="F91" s="12" t="s">
        <v>383</v>
      </c>
      <c r="G91" s="11" t="s">
        <v>59</v>
      </c>
      <c r="H91" s="11" t="s">
        <v>4</v>
      </c>
      <c r="I91" s="13" t="n">
        <v>0.9</v>
      </c>
      <c r="J91" s="11" t="s">
        <v>49</v>
      </c>
      <c r="K91" s="12" t="s">
        <v>384</v>
      </c>
      <c r="L91" s="12" t="s">
        <v>385</v>
      </c>
      <c r="M91" s="11" t="s">
        <v>50</v>
      </c>
      <c r="N91" s="12" t="s">
        <v>51</v>
      </c>
      <c r="O91" s="11" t="s">
        <v>27</v>
      </c>
      <c r="P91" s="11" t="s">
        <v>52</v>
      </c>
      <c r="Q91" s="12"/>
    </row>
    <row r="92" customFormat="false" ht="22.35" hidden="false" customHeight="false" outlineLevel="0" collapsed="false">
      <c r="A92" s="11" t="s">
        <v>386</v>
      </c>
      <c r="B92" s="11" t="s">
        <v>14</v>
      </c>
      <c r="C92" s="11" t="s">
        <v>46</v>
      </c>
      <c r="D92" s="12" t="s">
        <v>74</v>
      </c>
      <c r="E92" s="12" t="s">
        <v>74</v>
      </c>
      <c r="F92" s="12" t="s">
        <v>387</v>
      </c>
      <c r="G92" s="11" t="s">
        <v>59</v>
      </c>
      <c r="H92" s="11" t="s">
        <v>4</v>
      </c>
      <c r="I92" s="13" t="n">
        <v>0.8</v>
      </c>
      <c r="J92" s="11" t="s">
        <v>49</v>
      </c>
      <c r="K92" s="12" t="s">
        <v>388</v>
      </c>
      <c r="L92" s="12" t="s">
        <v>389</v>
      </c>
      <c r="M92" s="11" t="s">
        <v>50</v>
      </c>
      <c r="N92" s="12" t="s">
        <v>51</v>
      </c>
      <c r="O92" s="11" t="s">
        <v>27</v>
      </c>
      <c r="P92" s="11" t="s">
        <v>52</v>
      </c>
      <c r="Q92" s="12"/>
    </row>
    <row r="93" customFormat="false" ht="15" hidden="false" customHeight="false" outlineLevel="0" collapsed="false">
      <c r="A93" s="11" t="s">
        <v>390</v>
      </c>
      <c r="B93" s="11" t="s">
        <v>14</v>
      </c>
      <c r="C93" s="11" t="s">
        <v>391</v>
      </c>
      <c r="D93" s="12" t="s">
        <v>74</v>
      </c>
      <c r="E93" s="12" t="s">
        <v>392</v>
      </c>
      <c r="F93" s="12" t="s">
        <v>393</v>
      </c>
      <c r="G93" s="11" t="s">
        <v>59</v>
      </c>
      <c r="H93" s="11" t="s">
        <v>9</v>
      </c>
      <c r="I93" s="13"/>
      <c r="J93" s="11" t="s">
        <v>49</v>
      </c>
      <c r="K93" s="12"/>
      <c r="L93" s="12" t="s">
        <v>394</v>
      </c>
      <c r="M93" s="11" t="s">
        <v>50</v>
      </c>
      <c r="N93" s="12" t="s">
        <v>51</v>
      </c>
      <c r="O93" s="11" t="s">
        <v>28</v>
      </c>
      <c r="P93" s="11" t="s">
        <v>52</v>
      </c>
      <c r="Q93" s="12" t="s">
        <v>60</v>
      </c>
    </row>
    <row r="94" customFormat="false" ht="22.35" hidden="false" customHeight="false" outlineLevel="0" collapsed="false">
      <c r="A94" s="11" t="s">
        <v>395</v>
      </c>
      <c r="B94" s="11" t="s">
        <v>14</v>
      </c>
      <c r="C94" s="11" t="s">
        <v>396</v>
      </c>
      <c r="D94" s="12" t="s">
        <v>397</v>
      </c>
      <c r="E94" s="12" t="s">
        <v>398</v>
      </c>
      <c r="F94" s="12" t="s">
        <v>397</v>
      </c>
      <c r="G94" s="11" t="s">
        <v>72</v>
      </c>
      <c r="H94" s="11" t="s">
        <v>9</v>
      </c>
      <c r="I94" s="13"/>
      <c r="J94" s="11" t="s">
        <v>49</v>
      </c>
      <c r="K94" s="12"/>
      <c r="L94" s="12"/>
      <c r="M94" s="11" t="s">
        <v>50</v>
      </c>
      <c r="N94" s="12" t="s">
        <v>51</v>
      </c>
      <c r="O94" s="11" t="s">
        <v>28</v>
      </c>
      <c r="P94" s="11" t="s">
        <v>52</v>
      </c>
      <c r="Q94" s="12" t="s">
        <v>60</v>
      </c>
    </row>
    <row r="95" customFormat="false" ht="22.35" hidden="false" customHeight="false" outlineLevel="0" collapsed="false">
      <c r="A95" s="11" t="s">
        <v>399</v>
      </c>
      <c r="B95" s="11" t="s">
        <v>14</v>
      </c>
      <c r="C95" s="11" t="s">
        <v>396</v>
      </c>
      <c r="D95" s="12" t="s">
        <v>400</v>
      </c>
      <c r="E95" s="12" t="s">
        <v>401</v>
      </c>
      <c r="F95" s="12" t="s">
        <v>400</v>
      </c>
      <c r="G95" s="11" t="s">
        <v>72</v>
      </c>
      <c r="H95" s="11" t="s">
        <v>9</v>
      </c>
      <c r="I95" s="13"/>
      <c r="J95" s="11" t="s">
        <v>49</v>
      </c>
      <c r="K95" s="12"/>
      <c r="L95" s="12"/>
      <c r="M95" s="11" t="s">
        <v>50</v>
      </c>
      <c r="N95" s="12" t="s">
        <v>51</v>
      </c>
      <c r="O95" s="11" t="s">
        <v>28</v>
      </c>
      <c r="P95" s="11" t="s">
        <v>52</v>
      </c>
      <c r="Q95" s="12" t="s">
        <v>60</v>
      </c>
    </row>
    <row r="96" customFormat="false" ht="22.35" hidden="false" customHeight="false" outlineLevel="0" collapsed="false">
      <c r="A96" s="11" t="s">
        <v>402</v>
      </c>
      <c r="B96" s="11" t="s">
        <v>14</v>
      </c>
      <c r="C96" s="11" t="s">
        <v>396</v>
      </c>
      <c r="D96" s="12" t="s">
        <v>403</v>
      </c>
      <c r="E96" s="12" t="s">
        <v>404</v>
      </c>
      <c r="F96" s="12" t="s">
        <v>403</v>
      </c>
      <c r="G96" s="11" t="s">
        <v>72</v>
      </c>
      <c r="H96" s="11" t="s">
        <v>4</v>
      </c>
      <c r="I96" s="13" t="n">
        <v>0.8</v>
      </c>
      <c r="J96" s="11" t="s">
        <v>49</v>
      </c>
      <c r="K96" s="12" t="s">
        <v>405</v>
      </c>
      <c r="L96" s="12" t="s">
        <v>406</v>
      </c>
      <c r="M96" s="11" t="s">
        <v>50</v>
      </c>
      <c r="N96" s="12" t="s">
        <v>51</v>
      </c>
      <c r="O96" s="11" t="s">
        <v>27</v>
      </c>
      <c r="P96" s="11" t="s">
        <v>52</v>
      </c>
      <c r="Q96" s="12"/>
    </row>
    <row r="97" customFormat="false" ht="53.7" hidden="false" customHeight="false" outlineLevel="0" collapsed="false">
      <c r="A97" s="11" t="s">
        <v>407</v>
      </c>
      <c r="B97" s="11" t="s">
        <v>14</v>
      </c>
      <c r="C97" s="11" t="s">
        <v>396</v>
      </c>
      <c r="D97" s="12" t="s">
        <v>74</v>
      </c>
      <c r="E97" s="12" t="s">
        <v>408</v>
      </c>
      <c r="F97" s="12" t="s">
        <v>409</v>
      </c>
      <c r="G97" s="11" t="s">
        <v>72</v>
      </c>
      <c r="H97" s="11" t="s">
        <v>5</v>
      </c>
      <c r="I97" s="13" t="n">
        <v>0.423076923076923</v>
      </c>
      <c r="J97" s="11" t="s">
        <v>49</v>
      </c>
      <c r="K97" s="12" t="s">
        <v>410</v>
      </c>
      <c r="L97" s="12" t="s">
        <v>411</v>
      </c>
      <c r="M97" s="11" t="s">
        <v>50</v>
      </c>
      <c r="N97" s="12" t="s">
        <v>412</v>
      </c>
      <c r="O97" s="11" t="s">
        <v>25</v>
      </c>
      <c r="P97" s="11" t="s">
        <v>52</v>
      </c>
      <c r="Q97" s="12"/>
    </row>
    <row r="98" customFormat="false" ht="22.35" hidden="false" customHeight="false" outlineLevel="0" collapsed="false">
      <c r="A98" s="11" t="s">
        <v>413</v>
      </c>
      <c r="B98" s="11" t="s">
        <v>14</v>
      </c>
      <c r="C98" s="11" t="s">
        <v>396</v>
      </c>
      <c r="D98" s="12" t="s">
        <v>414</v>
      </c>
      <c r="E98" s="12" t="s">
        <v>415</v>
      </c>
      <c r="F98" s="12" t="s">
        <v>414</v>
      </c>
      <c r="G98" s="11" t="s">
        <v>72</v>
      </c>
      <c r="H98" s="11" t="s">
        <v>6</v>
      </c>
      <c r="I98" s="13" t="n">
        <v>0.2</v>
      </c>
      <c r="J98" s="11" t="s">
        <v>49</v>
      </c>
      <c r="K98" s="12"/>
      <c r="L98" s="12" t="s">
        <v>416</v>
      </c>
      <c r="M98" s="11" t="s">
        <v>50</v>
      </c>
      <c r="N98" s="12" t="s">
        <v>417</v>
      </c>
      <c r="O98" s="11" t="s">
        <v>25</v>
      </c>
      <c r="P98" s="11" t="s">
        <v>52</v>
      </c>
      <c r="Q98" s="12"/>
    </row>
    <row r="99" customFormat="false" ht="22.35" hidden="false" customHeight="false" outlineLevel="0" collapsed="false">
      <c r="A99" s="11" t="s">
        <v>418</v>
      </c>
      <c r="B99" s="11" t="s">
        <v>14</v>
      </c>
      <c r="C99" s="11" t="s">
        <v>396</v>
      </c>
      <c r="D99" s="12" t="s">
        <v>419</v>
      </c>
      <c r="E99" s="12" t="s">
        <v>420</v>
      </c>
      <c r="F99" s="12" t="s">
        <v>419</v>
      </c>
      <c r="G99" s="11" t="s">
        <v>72</v>
      </c>
      <c r="H99" s="11" t="s">
        <v>9</v>
      </c>
      <c r="I99" s="13"/>
      <c r="J99" s="11" t="s">
        <v>49</v>
      </c>
      <c r="K99" s="12"/>
      <c r="L99" s="12" t="s">
        <v>421</v>
      </c>
      <c r="M99" s="11" t="s">
        <v>50</v>
      </c>
      <c r="N99" s="12" t="s">
        <v>51</v>
      </c>
      <c r="O99" s="11" t="s">
        <v>28</v>
      </c>
      <c r="P99" s="11" t="s">
        <v>52</v>
      </c>
      <c r="Q99" s="12" t="s">
        <v>60</v>
      </c>
    </row>
    <row r="100" customFormat="false" ht="22.35" hidden="false" customHeight="false" outlineLevel="0" collapsed="false">
      <c r="A100" s="11" t="s">
        <v>422</v>
      </c>
      <c r="B100" s="11" t="s">
        <v>14</v>
      </c>
      <c r="C100" s="11" t="s">
        <v>396</v>
      </c>
      <c r="D100" s="12" t="s">
        <v>93</v>
      </c>
      <c r="E100" s="12" t="s">
        <v>423</v>
      </c>
      <c r="F100" s="12" t="s">
        <v>93</v>
      </c>
      <c r="G100" s="11" t="s">
        <v>48</v>
      </c>
      <c r="H100" s="11" t="s">
        <v>9</v>
      </c>
      <c r="I100" s="13"/>
      <c r="J100" s="11" t="s">
        <v>49</v>
      </c>
      <c r="K100" s="12"/>
      <c r="L100" s="12"/>
      <c r="M100" s="11" t="s">
        <v>50</v>
      </c>
      <c r="N100" s="12" t="s">
        <v>51</v>
      </c>
      <c r="O100" s="11" t="s">
        <v>28</v>
      </c>
      <c r="P100" s="11" t="s">
        <v>52</v>
      </c>
      <c r="Q100" s="12" t="s">
        <v>53</v>
      </c>
    </row>
    <row r="101" customFormat="false" ht="22.35" hidden="false" customHeight="false" outlineLevel="0" collapsed="false">
      <c r="A101" s="11" t="s">
        <v>424</v>
      </c>
      <c r="B101" s="11" t="s">
        <v>14</v>
      </c>
      <c r="C101" s="11" t="s">
        <v>396</v>
      </c>
      <c r="D101" s="12" t="s">
        <v>74</v>
      </c>
      <c r="E101" s="12" t="s">
        <v>425</v>
      </c>
      <c r="F101" s="12" t="s">
        <v>426</v>
      </c>
      <c r="G101" s="11" t="s">
        <v>72</v>
      </c>
      <c r="H101" s="11" t="s">
        <v>9</v>
      </c>
      <c r="I101" s="13"/>
      <c r="J101" s="11" t="s">
        <v>49</v>
      </c>
      <c r="K101" s="12"/>
      <c r="L101" s="12"/>
      <c r="M101" s="11" t="s">
        <v>50</v>
      </c>
      <c r="N101" s="12" t="s">
        <v>51</v>
      </c>
      <c r="O101" s="11" t="s">
        <v>28</v>
      </c>
      <c r="P101" s="11" t="s">
        <v>52</v>
      </c>
      <c r="Q101" s="12" t="s">
        <v>60</v>
      </c>
    </row>
    <row r="102" customFormat="false" ht="22.35" hidden="false" customHeight="false" outlineLevel="0" collapsed="false">
      <c r="A102" s="11" t="s">
        <v>427</v>
      </c>
      <c r="B102" s="11" t="s">
        <v>14</v>
      </c>
      <c r="C102" s="11" t="s">
        <v>396</v>
      </c>
      <c r="D102" s="12" t="s">
        <v>182</v>
      </c>
      <c r="E102" s="12" t="s">
        <v>428</v>
      </c>
      <c r="F102" s="12" t="s">
        <v>182</v>
      </c>
      <c r="G102" s="11" t="s">
        <v>72</v>
      </c>
      <c r="H102" s="11" t="s">
        <v>9</v>
      </c>
      <c r="I102" s="13"/>
      <c r="J102" s="11" t="s">
        <v>49</v>
      </c>
      <c r="K102" s="12"/>
      <c r="L102" s="12"/>
      <c r="M102" s="11" t="s">
        <v>50</v>
      </c>
      <c r="N102" s="12" t="s">
        <v>51</v>
      </c>
      <c r="O102" s="11" t="s">
        <v>28</v>
      </c>
      <c r="P102" s="11" t="s">
        <v>52</v>
      </c>
      <c r="Q102" s="12" t="s">
        <v>60</v>
      </c>
    </row>
    <row r="103" customFormat="false" ht="22.35" hidden="false" customHeight="false" outlineLevel="0" collapsed="false">
      <c r="A103" s="11" t="s">
        <v>429</v>
      </c>
      <c r="B103" s="11" t="s">
        <v>14</v>
      </c>
      <c r="C103" s="11" t="s">
        <v>396</v>
      </c>
      <c r="D103" s="12" t="s">
        <v>102</v>
      </c>
      <c r="E103" s="12" t="s">
        <v>430</v>
      </c>
      <c r="F103" s="12" t="s">
        <v>102</v>
      </c>
      <c r="G103" s="11" t="s">
        <v>48</v>
      </c>
      <c r="H103" s="11" t="s">
        <v>9</v>
      </c>
      <c r="I103" s="13"/>
      <c r="J103" s="11" t="s">
        <v>49</v>
      </c>
      <c r="K103" s="12"/>
      <c r="L103" s="12"/>
      <c r="M103" s="11" t="s">
        <v>50</v>
      </c>
      <c r="N103" s="12" t="s">
        <v>51</v>
      </c>
      <c r="O103" s="11" t="s">
        <v>28</v>
      </c>
      <c r="P103" s="11" t="s">
        <v>52</v>
      </c>
      <c r="Q103" s="12" t="s">
        <v>53</v>
      </c>
    </row>
    <row r="104" customFormat="false" ht="22.35" hidden="false" customHeight="false" outlineLevel="0" collapsed="false">
      <c r="A104" s="11" t="s">
        <v>431</v>
      </c>
      <c r="B104" s="11" t="s">
        <v>14</v>
      </c>
      <c r="C104" s="11" t="s">
        <v>396</v>
      </c>
      <c r="D104" s="12" t="s">
        <v>432</v>
      </c>
      <c r="E104" s="12" t="s">
        <v>433</v>
      </c>
      <c r="F104" s="12" t="s">
        <v>432</v>
      </c>
      <c r="G104" s="11" t="s">
        <v>72</v>
      </c>
      <c r="H104" s="11" t="s">
        <v>9</v>
      </c>
      <c r="I104" s="13"/>
      <c r="J104" s="11" t="s">
        <v>49</v>
      </c>
      <c r="K104" s="12"/>
      <c r="L104" s="12"/>
      <c r="M104" s="11" t="s">
        <v>50</v>
      </c>
      <c r="N104" s="12" t="s">
        <v>51</v>
      </c>
      <c r="O104" s="11" t="s">
        <v>28</v>
      </c>
      <c r="P104" s="11" t="s">
        <v>52</v>
      </c>
      <c r="Q104" s="12" t="s">
        <v>60</v>
      </c>
    </row>
    <row r="105" customFormat="false" ht="22.35" hidden="false" customHeight="false" outlineLevel="0" collapsed="false">
      <c r="A105" s="11" t="s">
        <v>434</v>
      </c>
      <c r="B105" s="11" t="s">
        <v>14</v>
      </c>
      <c r="C105" s="11" t="s">
        <v>396</v>
      </c>
      <c r="D105" s="12" t="s">
        <v>116</v>
      </c>
      <c r="E105" s="12" t="s">
        <v>435</v>
      </c>
      <c r="F105" s="12" t="s">
        <v>116</v>
      </c>
      <c r="G105" s="11" t="s">
        <v>48</v>
      </c>
      <c r="H105" s="11" t="s">
        <v>9</v>
      </c>
      <c r="I105" s="13"/>
      <c r="J105" s="11" t="s">
        <v>49</v>
      </c>
      <c r="K105" s="12"/>
      <c r="L105" s="12"/>
      <c r="M105" s="11" t="s">
        <v>50</v>
      </c>
      <c r="N105" s="12" t="s">
        <v>51</v>
      </c>
      <c r="O105" s="11" t="s">
        <v>28</v>
      </c>
      <c r="P105" s="11" t="s">
        <v>52</v>
      </c>
      <c r="Q105" s="12" t="s">
        <v>53</v>
      </c>
    </row>
    <row r="106" customFormat="false" ht="22.35" hidden="false" customHeight="false" outlineLevel="0" collapsed="false">
      <c r="A106" s="11" t="s">
        <v>436</v>
      </c>
      <c r="B106" s="11" t="s">
        <v>14</v>
      </c>
      <c r="C106" s="11" t="s">
        <v>396</v>
      </c>
      <c r="D106" s="12" t="s">
        <v>437</v>
      </c>
      <c r="E106" s="12" t="s">
        <v>438</v>
      </c>
      <c r="F106" s="12" t="s">
        <v>437</v>
      </c>
      <c r="G106" s="11" t="s">
        <v>72</v>
      </c>
      <c r="H106" s="11" t="s">
        <v>9</v>
      </c>
      <c r="I106" s="13"/>
      <c r="J106" s="11" t="s">
        <v>49</v>
      </c>
      <c r="K106" s="12" t="s">
        <v>439</v>
      </c>
      <c r="L106" s="12" t="s">
        <v>440</v>
      </c>
      <c r="M106" s="11" t="s">
        <v>50</v>
      </c>
      <c r="N106" s="12" t="s">
        <v>51</v>
      </c>
      <c r="O106" s="11" t="s">
        <v>28</v>
      </c>
      <c r="P106" s="11" t="s">
        <v>52</v>
      </c>
      <c r="Q106" s="12" t="s">
        <v>60</v>
      </c>
    </row>
    <row r="107" customFormat="false" ht="22.35" hidden="false" customHeight="false" outlineLevel="0" collapsed="false">
      <c r="A107" s="11" t="s">
        <v>441</v>
      </c>
      <c r="B107" s="11" t="s">
        <v>14</v>
      </c>
      <c r="C107" s="11" t="s">
        <v>396</v>
      </c>
      <c r="D107" s="12" t="s">
        <v>442</v>
      </c>
      <c r="E107" s="12" t="s">
        <v>443</v>
      </c>
      <c r="F107" s="12" t="s">
        <v>442</v>
      </c>
      <c r="G107" s="11" t="s">
        <v>72</v>
      </c>
      <c r="H107" s="11" t="s">
        <v>5</v>
      </c>
      <c r="I107" s="13" t="n">
        <v>0.363636363636364</v>
      </c>
      <c r="J107" s="11" t="s">
        <v>49</v>
      </c>
      <c r="K107" s="12" t="s">
        <v>444</v>
      </c>
      <c r="L107" s="12" t="s">
        <v>445</v>
      </c>
      <c r="M107" s="11" t="s">
        <v>50</v>
      </c>
      <c r="N107" s="12" t="s">
        <v>412</v>
      </c>
      <c r="O107" s="11" t="s">
        <v>25</v>
      </c>
      <c r="P107" s="11" t="s">
        <v>52</v>
      </c>
      <c r="Q107" s="12"/>
    </row>
    <row r="108" customFormat="false" ht="22.35" hidden="false" customHeight="false" outlineLevel="0" collapsed="false">
      <c r="A108" s="11" t="s">
        <v>446</v>
      </c>
      <c r="B108" s="11" t="s">
        <v>14</v>
      </c>
      <c r="C108" s="11" t="s">
        <v>396</v>
      </c>
      <c r="D108" s="12" t="s">
        <v>447</v>
      </c>
      <c r="E108" s="12" t="s">
        <v>448</v>
      </c>
      <c r="F108" s="12" t="s">
        <v>449</v>
      </c>
      <c r="G108" s="11" t="s">
        <v>72</v>
      </c>
      <c r="H108" s="11" t="s">
        <v>9</v>
      </c>
      <c r="I108" s="13"/>
      <c r="J108" s="11" t="s">
        <v>49</v>
      </c>
      <c r="K108" s="12"/>
      <c r="L108" s="12"/>
      <c r="M108" s="11" t="s">
        <v>50</v>
      </c>
      <c r="N108" s="12" t="s">
        <v>51</v>
      </c>
      <c r="O108" s="11" t="s">
        <v>28</v>
      </c>
      <c r="P108" s="11" t="s">
        <v>52</v>
      </c>
      <c r="Q108" s="12" t="s">
        <v>60</v>
      </c>
    </row>
    <row r="109" customFormat="false" ht="22.35" hidden="false" customHeight="false" outlineLevel="0" collapsed="false">
      <c r="A109" s="11" t="s">
        <v>450</v>
      </c>
      <c r="B109" s="11" t="s">
        <v>14</v>
      </c>
      <c r="C109" s="11" t="s">
        <v>396</v>
      </c>
      <c r="D109" s="12" t="s">
        <v>93</v>
      </c>
      <c r="E109" s="12" t="s">
        <v>451</v>
      </c>
      <c r="F109" s="12" t="s">
        <v>93</v>
      </c>
      <c r="G109" s="11" t="s">
        <v>48</v>
      </c>
      <c r="H109" s="11" t="s">
        <v>9</v>
      </c>
      <c r="I109" s="13"/>
      <c r="J109" s="11" t="s">
        <v>49</v>
      </c>
      <c r="K109" s="12"/>
      <c r="L109" s="12"/>
      <c r="M109" s="11" t="s">
        <v>50</v>
      </c>
      <c r="N109" s="12" t="s">
        <v>51</v>
      </c>
      <c r="O109" s="11" t="s">
        <v>28</v>
      </c>
      <c r="P109" s="11" t="s">
        <v>52</v>
      </c>
      <c r="Q109" s="12" t="s">
        <v>53</v>
      </c>
    </row>
    <row r="110" customFormat="false" ht="22.35" hidden="false" customHeight="false" outlineLevel="0" collapsed="false">
      <c r="A110" s="11" t="s">
        <v>452</v>
      </c>
      <c r="B110" s="11" t="s">
        <v>14</v>
      </c>
      <c r="C110" s="11" t="s">
        <v>396</v>
      </c>
      <c r="D110" s="12" t="s">
        <v>453</v>
      </c>
      <c r="E110" s="12" t="s">
        <v>454</v>
      </c>
      <c r="F110" s="12" t="s">
        <v>453</v>
      </c>
      <c r="G110" s="11" t="s">
        <v>72</v>
      </c>
      <c r="H110" s="11" t="s">
        <v>9</v>
      </c>
      <c r="I110" s="13"/>
      <c r="J110" s="11" t="s">
        <v>49</v>
      </c>
      <c r="K110" s="12" t="s">
        <v>455</v>
      </c>
      <c r="L110" s="12"/>
      <c r="M110" s="11" t="s">
        <v>50</v>
      </c>
      <c r="N110" s="12" t="s">
        <v>51</v>
      </c>
      <c r="O110" s="11" t="s">
        <v>28</v>
      </c>
      <c r="P110" s="11" t="s">
        <v>52</v>
      </c>
      <c r="Q110" s="12" t="s">
        <v>60</v>
      </c>
    </row>
    <row r="111" customFormat="false" ht="32.8" hidden="false" customHeight="false" outlineLevel="0" collapsed="false">
      <c r="A111" s="11" t="s">
        <v>456</v>
      </c>
      <c r="B111" s="11" t="s">
        <v>14</v>
      </c>
      <c r="C111" s="11" t="s">
        <v>396</v>
      </c>
      <c r="D111" s="12" t="s">
        <v>457</v>
      </c>
      <c r="E111" s="12" t="s">
        <v>458</v>
      </c>
      <c r="F111" s="12" t="s">
        <v>459</v>
      </c>
      <c r="G111" s="11" t="s">
        <v>72</v>
      </c>
      <c r="H111" s="11" t="s">
        <v>4</v>
      </c>
      <c r="I111" s="13" t="n">
        <v>0.425</v>
      </c>
      <c r="J111" s="11" t="s">
        <v>49</v>
      </c>
      <c r="K111" s="12" t="s">
        <v>460</v>
      </c>
      <c r="L111" s="12" t="s">
        <v>461</v>
      </c>
      <c r="M111" s="11" t="s">
        <v>50</v>
      </c>
      <c r="N111" s="12" t="s">
        <v>51</v>
      </c>
      <c r="O111" s="11" t="s">
        <v>27</v>
      </c>
      <c r="P111" s="11" t="s">
        <v>52</v>
      </c>
      <c r="Q111" s="12"/>
    </row>
    <row r="112" customFormat="false" ht="22.35" hidden="false" customHeight="false" outlineLevel="0" collapsed="false">
      <c r="A112" s="11" t="s">
        <v>462</v>
      </c>
      <c r="B112" s="11" t="s">
        <v>14</v>
      </c>
      <c r="C112" s="11" t="s">
        <v>396</v>
      </c>
      <c r="D112" s="12" t="s">
        <v>74</v>
      </c>
      <c r="E112" s="12" t="s">
        <v>463</v>
      </c>
      <c r="F112" s="12" t="s">
        <v>464</v>
      </c>
      <c r="G112" s="11" t="s">
        <v>72</v>
      </c>
      <c r="H112" s="11" t="s">
        <v>4</v>
      </c>
      <c r="I112" s="13" t="n">
        <v>1</v>
      </c>
      <c r="J112" s="11" t="s">
        <v>49</v>
      </c>
      <c r="K112" s="12" t="s">
        <v>465</v>
      </c>
      <c r="L112" s="12"/>
      <c r="M112" s="11" t="s">
        <v>50</v>
      </c>
      <c r="N112" s="12" t="s">
        <v>51</v>
      </c>
      <c r="O112" s="11" t="s">
        <v>27</v>
      </c>
      <c r="P112" s="11" t="s">
        <v>52</v>
      </c>
      <c r="Q112" s="12"/>
    </row>
    <row r="113" customFormat="false" ht="22.35" hidden="false" customHeight="false" outlineLevel="0" collapsed="false">
      <c r="A113" s="11" t="s">
        <v>466</v>
      </c>
      <c r="B113" s="11" t="s">
        <v>14</v>
      </c>
      <c r="C113" s="11" t="s">
        <v>396</v>
      </c>
      <c r="D113" s="12" t="s">
        <v>182</v>
      </c>
      <c r="E113" s="12" t="s">
        <v>467</v>
      </c>
      <c r="F113" s="12" t="s">
        <v>182</v>
      </c>
      <c r="G113" s="11" t="s">
        <v>72</v>
      </c>
      <c r="H113" s="11" t="s">
        <v>9</v>
      </c>
      <c r="I113" s="13"/>
      <c r="J113" s="11" t="s">
        <v>49</v>
      </c>
      <c r="K113" s="12"/>
      <c r="L113" s="12"/>
      <c r="M113" s="11" t="s">
        <v>50</v>
      </c>
      <c r="N113" s="12" t="s">
        <v>51</v>
      </c>
      <c r="O113" s="11" t="s">
        <v>28</v>
      </c>
      <c r="P113" s="11" t="s">
        <v>52</v>
      </c>
      <c r="Q113" s="12" t="s">
        <v>60</v>
      </c>
    </row>
    <row r="114" customFormat="false" ht="22.35" hidden="false" customHeight="false" outlineLevel="0" collapsed="false">
      <c r="A114" s="11" t="s">
        <v>468</v>
      </c>
      <c r="B114" s="11" t="s">
        <v>14</v>
      </c>
      <c r="C114" s="11" t="s">
        <v>396</v>
      </c>
      <c r="D114" s="12" t="s">
        <v>102</v>
      </c>
      <c r="E114" s="12" t="s">
        <v>469</v>
      </c>
      <c r="F114" s="12" t="s">
        <v>102</v>
      </c>
      <c r="G114" s="11" t="s">
        <v>48</v>
      </c>
      <c r="H114" s="11" t="s">
        <v>9</v>
      </c>
      <c r="I114" s="13"/>
      <c r="J114" s="11" t="s">
        <v>49</v>
      </c>
      <c r="K114" s="12"/>
      <c r="L114" s="12"/>
      <c r="M114" s="11" t="s">
        <v>50</v>
      </c>
      <c r="N114" s="12" t="s">
        <v>51</v>
      </c>
      <c r="O114" s="11" t="s">
        <v>28</v>
      </c>
      <c r="P114" s="11" t="s">
        <v>52</v>
      </c>
      <c r="Q114" s="12" t="s">
        <v>53</v>
      </c>
    </row>
    <row r="115" customFormat="false" ht="22.35" hidden="false" customHeight="false" outlineLevel="0" collapsed="false">
      <c r="A115" s="11" t="s">
        <v>470</v>
      </c>
      <c r="B115" s="11" t="s">
        <v>14</v>
      </c>
      <c r="C115" s="11" t="s">
        <v>396</v>
      </c>
      <c r="D115" s="12" t="s">
        <v>471</v>
      </c>
      <c r="E115" s="12" t="s">
        <v>472</v>
      </c>
      <c r="F115" s="12" t="s">
        <v>471</v>
      </c>
      <c r="G115" s="11" t="s">
        <v>72</v>
      </c>
      <c r="H115" s="11" t="s">
        <v>9</v>
      </c>
      <c r="I115" s="13"/>
      <c r="J115" s="11" t="s">
        <v>49</v>
      </c>
      <c r="K115" s="12"/>
      <c r="L115" s="12"/>
      <c r="M115" s="11" t="s">
        <v>50</v>
      </c>
      <c r="N115" s="12" t="s">
        <v>51</v>
      </c>
      <c r="O115" s="11" t="s">
        <v>28</v>
      </c>
      <c r="P115" s="11" t="s">
        <v>52</v>
      </c>
      <c r="Q115" s="12" t="s">
        <v>60</v>
      </c>
    </row>
    <row r="116" customFormat="false" ht="22.35" hidden="false" customHeight="false" outlineLevel="0" collapsed="false">
      <c r="A116" s="11" t="s">
        <v>473</v>
      </c>
      <c r="B116" s="11" t="s">
        <v>14</v>
      </c>
      <c r="C116" s="11" t="s">
        <v>396</v>
      </c>
      <c r="D116" s="12" t="s">
        <v>474</v>
      </c>
      <c r="E116" s="12" t="s">
        <v>475</v>
      </c>
      <c r="F116" s="12" t="s">
        <v>474</v>
      </c>
      <c r="G116" s="11" t="s">
        <v>72</v>
      </c>
      <c r="H116" s="11" t="s">
        <v>9</v>
      </c>
      <c r="I116" s="13"/>
      <c r="J116" s="11" t="s">
        <v>49</v>
      </c>
      <c r="K116" s="12"/>
      <c r="L116" s="12"/>
      <c r="M116" s="11" t="s">
        <v>50</v>
      </c>
      <c r="N116" s="12" t="s">
        <v>51</v>
      </c>
      <c r="O116" s="11" t="s">
        <v>28</v>
      </c>
      <c r="P116" s="11" t="s">
        <v>52</v>
      </c>
      <c r="Q116" s="12" t="s">
        <v>60</v>
      </c>
    </row>
    <row r="117" customFormat="false" ht="22.35" hidden="false" customHeight="false" outlineLevel="0" collapsed="false">
      <c r="A117" s="11" t="s">
        <v>476</v>
      </c>
      <c r="B117" s="11" t="s">
        <v>14</v>
      </c>
      <c r="C117" s="11" t="s">
        <v>396</v>
      </c>
      <c r="D117" s="12" t="s">
        <v>477</v>
      </c>
      <c r="E117" s="12" t="s">
        <v>478</v>
      </c>
      <c r="F117" s="12" t="s">
        <v>477</v>
      </c>
      <c r="G117" s="11" t="s">
        <v>72</v>
      </c>
      <c r="H117" s="11" t="s">
        <v>9</v>
      </c>
      <c r="I117" s="13"/>
      <c r="J117" s="11" t="s">
        <v>49</v>
      </c>
      <c r="K117" s="12"/>
      <c r="L117" s="12"/>
      <c r="M117" s="11" t="s">
        <v>50</v>
      </c>
      <c r="N117" s="12" t="s">
        <v>51</v>
      </c>
      <c r="O117" s="11" t="s">
        <v>28</v>
      </c>
      <c r="P117" s="11" t="s">
        <v>52</v>
      </c>
      <c r="Q117" s="12" t="s">
        <v>60</v>
      </c>
    </row>
    <row r="118" customFormat="false" ht="22.35" hidden="false" customHeight="false" outlineLevel="0" collapsed="false">
      <c r="A118" s="11" t="s">
        <v>479</v>
      </c>
      <c r="B118" s="11" t="s">
        <v>14</v>
      </c>
      <c r="C118" s="11" t="s">
        <v>396</v>
      </c>
      <c r="D118" s="12" t="s">
        <v>480</v>
      </c>
      <c r="E118" s="12" t="s">
        <v>481</v>
      </c>
      <c r="F118" s="12" t="s">
        <v>482</v>
      </c>
      <c r="G118" s="11" t="s">
        <v>72</v>
      </c>
      <c r="H118" s="11" t="s">
        <v>9</v>
      </c>
      <c r="I118" s="13"/>
      <c r="J118" s="11" t="s">
        <v>49</v>
      </c>
      <c r="K118" s="12"/>
      <c r="L118" s="12" t="s">
        <v>483</v>
      </c>
      <c r="M118" s="11" t="s">
        <v>50</v>
      </c>
      <c r="N118" s="12" t="s">
        <v>51</v>
      </c>
      <c r="O118" s="11" t="s">
        <v>28</v>
      </c>
      <c r="P118" s="11" t="s">
        <v>52</v>
      </c>
      <c r="Q118" s="12" t="s">
        <v>60</v>
      </c>
    </row>
    <row r="119" customFormat="false" ht="64.15" hidden="false" customHeight="false" outlineLevel="0" collapsed="false">
      <c r="A119" s="11" t="s">
        <v>484</v>
      </c>
      <c r="B119" s="11" t="s">
        <v>14</v>
      </c>
      <c r="C119" s="11" t="s">
        <v>396</v>
      </c>
      <c r="D119" s="12" t="s">
        <v>74</v>
      </c>
      <c r="E119" s="12" t="s">
        <v>485</v>
      </c>
      <c r="F119" s="12" t="s">
        <v>486</v>
      </c>
      <c r="G119" s="11" t="s">
        <v>72</v>
      </c>
      <c r="H119" s="11" t="s">
        <v>5</v>
      </c>
      <c r="I119" s="13" t="n">
        <v>0.2</v>
      </c>
      <c r="J119" s="11" t="s">
        <v>49</v>
      </c>
      <c r="K119" s="12" t="s">
        <v>487</v>
      </c>
      <c r="L119" s="12" t="s">
        <v>488</v>
      </c>
      <c r="M119" s="11" t="s">
        <v>50</v>
      </c>
      <c r="N119" s="12" t="s">
        <v>489</v>
      </c>
      <c r="O119" s="11" t="s">
        <v>25</v>
      </c>
      <c r="P119" s="11" t="s">
        <v>52</v>
      </c>
      <c r="Q119" s="12"/>
    </row>
    <row r="120" customFormat="false" ht="22.35" hidden="false" customHeight="false" outlineLevel="0" collapsed="false">
      <c r="A120" s="11" t="s">
        <v>490</v>
      </c>
      <c r="B120" s="11" t="s">
        <v>14</v>
      </c>
      <c r="C120" s="11" t="s">
        <v>396</v>
      </c>
      <c r="D120" s="12" t="s">
        <v>491</v>
      </c>
      <c r="E120" s="12" t="s">
        <v>492</v>
      </c>
      <c r="F120" s="12" t="s">
        <v>491</v>
      </c>
      <c r="G120" s="11" t="s">
        <v>72</v>
      </c>
      <c r="H120" s="11" t="s">
        <v>9</v>
      </c>
      <c r="I120" s="13"/>
      <c r="J120" s="11" t="s">
        <v>49</v>
      </c>
      <c r="K120" s="12"/>
      <c r="L120" s="12" t="s">
        <v>493</v>
      </c>
      <c r="M120" s="11" t="s">
        <v>50</v>
      </c>
      <c r="N120" s="12" t="s">
        <v>51</v>
      </c>
      <c r="O120" s="11" t="s">
        <v>28</v>
      </c>
      <c r="P120" s="11" t="s">
        <v>52</v>
      </c>
      <c r="Q120" s="12" t="s">
        <v>60</v>
      </c>
    </row>
    <row r="121" customFormat="false" ht="43.25" hidden="false" customHeight="false" outlineLevel="0" collapsed="false">
      <c r="A121" s="11" t="s">
        <v>494</v>
      </c>
      <c r="B121" s="11" t="s">
        <v>14</v>
      </c>
      <c r="C121" s="11" t="s">
        <v>396</v>
      </c>
      <c r="D121" s="12" t="s">
        <v>495</v>
      </c>
      <c r="E121" s="12" t="s">
        <v>496</v>
      </c>
      <c r="F121" s="12" t="s">
        <v>495</v>
      </c>
      <c r="G121" s="11" t="s">
        <v>72</v>
      </c>
      <c r="H121" s="11" t="s">
        <v>5</v>
      </c>
      <c r="I121" s="13" t="n">
        <v>0.419354838709677</v>
      </c>
      <c r="J121" s="11" t="s">
        <v>49</v>
      </c>
      <c r="K121" s="12" t="s">
        <v>497</v>
      </c>
      <c r="L121" s="12" t="s">
        <v>498</v>
      </c>
      <c r="M121" s="11" t="s">
        <v>50</v>
      </c>
      <c r="N121" s="12" t="s">
        <v>489</v>
      </c>
      <c r="O121" s="11" t="s">
        <v>25</v>
      </c>
      <c r="P121" s="11" t="s">
        <v>52</v>
      </c>
      <c r="Q121" s="12"/>
    </row>
    <row r="122" customFormat="false" ht="32.8" hidden="false" customHeight="false" outlineLevel="0" collapsed="false">
      <c r="A122" s="11" t="s">
        <v>499</v>
      </c>
      <c r="B122" s="11" t="s">
        <v>14</v>
      </c>
      <c r="C122" s="11" t="s">
        <v>396</v>
      </c>
      <c r="D122" s="12" t="s">
        <v>500</v>
      </c>
      <c r="E122" s="12" t="s">
        <v>501</v>
      </c>
      <c r="F122" s="12" t="s">
        <v>500</v>
      </c>
      <c r="G122" s="11" t="s">
        <v>72</v>
      </c>
      <c r="H122" s="11" t="s">
        <v>5</v>
      </c>
      <c r="I122" s="13" t="n">
        <v>0.307692307692308</v>
      </c>
      <c r="J122" s="11" t="s">
        <v>49</v>
      </c>
      <c r="K122" s="12" t="s">
        <v>502</v>
      </c>
      <c r="L122" s="12" t="s">
        <v>503</v>
      </c>
      <c r="M122" s="11" t="s">
        <v>50</v>
      </c>
      <c r="N122" s="12" t="s">
        <v>489</v>
      </c>
      <c r="O122" s="11" t="s">
        <v>25</v>
      </c>
      <c r="P122" s="11" t="s">
        <v>52</v>
      </c>
      <c r="Q122" s="12"/>
    </row>
    <row r="123" customFormat="false" ht="43.25" hidden="false" customHeight="false" outlineLevel="0" collapsed="false">
      <c r="A123" s="11" t="s">
        <v>504</v>
      </c>
      <c r="B123" s="11" t="s">
        <v>14</v>
      </c>
      <c r="C123" s="11" t="s">
        <v>396</v>
      </c>
      <c r="D123" s="12" t="s">
        <v>505</v>
      </c>
      <c r="E123" s="12" t="s">
        <v>506</v>
      </c>
      <c r="F123" s="12" t="s">
        <v>505</v>
      </c>
      <c r="G123" s="11" t="s">
        <v>72</v>
      </c>
      <c r="H123" s="11" t="s">
        <v>5</v>
      </c>
      <c r="I123" s="13" t="n">
        <v>0.290322580645161</v>
      </c>
      <c r="J123" s="11" t="s">
        <v>49</v>
      </c>
      <c r="K123" s="12" t="s">
        <v>507</v>
      </c>
      <c r="L123" s="12" t="s">
        <v>508</v>
      </c>
      <c r="M123" s="11" t="s">
        <v>50</v>
      </c>
      <c r="N123" s="12" t="s">
        <v>489</v>
      </c>
      <c r="O123" s="11" t="s">
        <v>25</v>
      </c>
      <c r="P123" s="11" t="s">
        <v>52</v>
      </c>
      <c r="Q123" s="12"/>
    </row>
    <row r="124" customFormat="false" ht="43.25" hidden="false" customHeight="false" outlineLevel="0" collapsed="false">
      <c r="A124" s="11" t="s">
        <v>509</v>
      </c>
      <c r="B124" s="11" t="s">
        <v>14</v>
      </c>
      <c r="C124" s="11" t="s">
        <v>396</v>
      </c>
      <c r="D124" s="12" t="s">
        <v>510</v>
      </c>
      <c r="E124" s="12" t="s">
        <v>511</v>
      </c>
      <c r="F124" s="12" t="s">
        <v>510</v>
      </c>
      <c r="G124" s="11" t="s">
        <v>72</v>
      </c>
      <c r="H124" s="11" t="s">
        <v>5</v>
      </c>
      <c r="I124" s="13" t="n">
        <v>0.285714285714286</v>
      </c>
      <c r="J124" s="11" t="s">
        <v>49</v>
      </c>
      <c r="K124" s="12" t="s">
        <v>512</v>
      </c>
      <c r="L124" s="12" t="s">
        <v>513</v>
      </c>
      <c r="M124" s="11" t="s">
        <v>50</v>
      </c>
      <c r="N124" s="12" t="s">
        <v>489</v>
      </c>
      <c r="O124" s="11" t="s">
        <v>25</v>
      </c>
      <c r="P124" s="11" t="s">
        <v>52</v>
      </c>
      <c r="Q124" s="12"/>
    </row>
    <row r="125" customFormat="false" ht="53.7" hidden="false" customHeight="false" outlineLevel="0" collapsed="false">
      <c r="A125" s="11" t="s">
        <v>514</v>
      </c>
      <c r="B125" s="11" t="s">
        <v>14</v>
      </c>
      <c r="C125" s="11" t="s">
        <v>396</v>
      </c>
      <c r="D125" s="12" t="s">
        <v>515</v>
      </c>
      <c r="E125" s="12" t="s">
        <v>516</v>
      </c>
      <c r="F125" s="12" t="s">
        <v>515</v>
      </c>
      <c r="G125" s="11" t="s">
        <v>72</v>
      </c>
      <c r="H125" s="11" t="s">
        <v>5</v>
      </c>
      <c r="I125" s="13" t="n">
        <v>0.35</v>
      </c>
      <c r="J125" s="11" t="s">
        <v>49</v>
      </c>
      <c r="K125" s="12" t="s">
        <v>517</v>
      </c>
      <c r="L125" s="12" t="s">
        <v>518</v>
      </c>
      <c r="M125" s="11" t="s">
        <v>50</v>
      </c>
      <c r="N125" s="12" t="s">
        <v>489</v>
      </c>
      <c r="O125" s="11" t="s">
        <v>25</v>
      </c>
      <c r="P125" s="11" t="s">
        <v>52</v>
      </c>
      <c r="Q125" s="12"/>
    </row>
    <row r="126" customFormat="false" ht="22.35" hidden="false" customHeight="false" outlineLevel="0" collapsed="false">
      <c r="A126" s="11" t="s">
        <v>519</v>
      </c>
      <c r="B126" s="11" t="s">
        <v>14</v>
      </c>
      <c r="C126" s="11" t="s">
        <v>396</v>
      </c>
      <c r="D126" s="12" t="s">
        <v>520</v>
      </c>
      <c r="E126" s="12" t="s">
        <v>521</v>
      </c>
      <c r="F126" s="12" t="s">
        <v>520</v>
      </c>
      <c r="G126" s="11" t="s">
        <v>72</v>
      </c>
      <c r="H126" s="11" t="s">
        <v>9</v>
      </c>
      <c r="I126" s="13"/>
      <c r="J126" s="11" t="s">
        <v>49</v>
      </c>
      <c r="K126" s="12"/>
      <c r="L126" s="12" t="s">
        <v>522</v>
      </c>
      <c r="M126" s="11" t="s">
        <v>50</v>
      </c>
      <c r="N126" s="12" t="s">
        <v>51</v>
      </c>
      <c r="O126" s="11" t="s">
        <v>28</v>
      </c>
      <c r="P126" s="11" t="s">
        <v>52</v>
      </c>
      <c r="Q126" s="12" t="s">
        <v>60</v>
      </c>
    </row>
    <row r="127" customFormat="false" ht="22.35" hidden="false" customHeight="false" outlineLevel="0" collapsed="false">
      <c r="A127" s="11" t="s">
        <v>523</v>
      </c>
      <c r="B127" s="11" t="s">
        <v>14</v>
      </c>
      <c r="C127" s="11" t="s">
        <v>396</v>
      </c>
      <c r="D127" s="12" t="s">
        <v>524</v>
      </c>
      <c r="E127" s="12" t="s">
        <v>525</v>
      </c>
      <c r="F127" s="12" t="s">
        <v>524</v>
      </c>
      <c r="G127" s="11" t="s">
        <v>72</v>
      </c>
      <c r="H127" s="11" t="s">
        <v>6</v>
      </c>
      <c r="I127" s="13" t="n">
        <v>0.222222222222222</v>
      </c>
      <c r="J127" s="11" t="s">
        <v>49</v>
      </c>
      <c r="K127" s="12" t="s">
        <v>526</v>
      </c>
      <c r="L127" s="12" t="s">
        <v>527</v>
      </c>
      <c r="M127" s="11" t="s">
        <v>50</v>
      </c>
      <c r="N127" s="12" t="s">
        <v>528</v>
      </c>
      <c r="O127" s="11" t="s">
        <v>25</v>
      </c>
      <c r="P127" s="11" t="s">
        <v>52</v>
      </c>
      <c r="Q127" s="12"/>
    </row>
    <row r="128" customFormat="false" ht="22.35" hidden="false" customHeight="false" outlineLevel="0" collapsed="false">
      <c r="A128" s="11" t="s">
        <v>529</v>
      </c>
      <c r="B128" s="11" t="s">
        <v>14</v>
      </c>
      <c r="C128" s="11" t="s">
        <v>396</v>
      </c>
      <c r="D128" s="12" t="s">
        <v>530</v>
      </c>
      <c r="E128" s="12" t="s">
        <v>531</v>
      </c>
      <c r="F128" s="12" t="s">
        <v>530</v>
      </c>
      <c r="G128" s="11" t="s">
        <v>72</v>
      </c>
      <c r="H128" s="11" t="s">
        <v>9</v>
      </c>
      <c r="I128" s="13"/>
      <c r="J128" s="11" t="s">
        <v>49</v>
      </c>
      <c r="K128" s="12"/>
      <c r="L128" s="12" t="s">
        <v>532</v>
      </c>
      <c r="M128" s="11" t="s">
        <v>50</v>
      </c>
      <c r="N128" s="12" t="s">
        <v>51</v>
      </c>
      <c r="O128" s="11" t="s">
        <v>28</v>
      </c>
      <c r="P128" s="11" t="s">
        <v>52</v>
      </c>
      <c r="Q128" s="12" t="s">
        <v>60</v>
      </c>
    </row>
    <row r="129" customFormat="false" ht="22.35" hidden="false" customHeight="false" outlineLevel="0" collapsed="false">
      <c r="A129" s="11" t="s">
        <v>533</v>
      </c>
      <c r="B129" s="11" t="s">
        <v>14</v>
      </c>
      <c r="C129" s="11" t="s">
        <v>396</v>
      </c>
      <c r="D129" s="12" t="s">
        <v>534</v>
      </c>
      <c r="E129" s="12" t="s">
        <v>535</v>
      </c>
      <c r="F129" s="12" t="s">
        <v>534</v>
      </c>
      <c r="G129" s="11" t="s">
        <v>72</v>
      </c>
      <c r="H129" s="11" t="s">
        <v>9</v>
      </c>
      <c r="I129" s="13"/>
      <c r="J129" s="11" t="s">
        <v>49</v>
      </c>
      <c r="K129" s="12"/>
      <c r="L129" s="12" t="s">
        <v>536</v>
      </c>
      <c r="M129" s="11" t="s">
        <v>50</v>
      </c>
      <c r="N129" s="12" t="s">
        <v>51</v>
      </c>
      <c r="O129" s="11" t="s">
        <v>28</v>
      </c>
      <c r="P129" s="11" t="s">
        <v>52</v>
      </c>
      <c r="Q129" s="12" t="s">
        <v>60</v>
      </c>
    </row>
    <row r="130" customFormat="false" ht="22.35" hidden="false" customHeight="false" outlineLevel="0" collapsed="false">
      <c r="A130" s="11" t="s">
        <v>537</v>
      </c>
      <c r="B130" s="11" t="s">
        <v>14</v>
      </c>
      <c r="C130" s="11" t="s">
        <v>396</v>
      </c>
      <c r="D130" s="12" t="s">
        <v>538</v>
      </c>
      <c r="E130" s="12" t="s">
        <v>539</v>
      </c>
      <c r="F130" s="12" t="s">
        <v>538</v>
      </c>
      <c r="G130" s="11" t="s">
        <v>72</v>
      </c>
      <c r="H130" s="11" t="s">
        <v>6</v>
      </c>
      <c r="I130" s="13" t="n">
        <v>0</v>
      </c>
      <c r="J130" s="11" t="s">
        <v>49</v>
      </c>
      <c r="K130" s="12"/>
      <c r="L130" s="12" t="s">
        <v>540</v>
      </c>
      <c r="M130" s="11" t="s">
        <v>50</v>
      </c>
      <c r="N130" s="12" t="s">
        <v>528</v>
      </c>
      <c r="O130" s="11" t="s">
        <v>25</v>
      </c>
      <c r="P130" s="11" t="s">
        <v>52</v>
      </c>
      <c r="Q130" s="12"/>
    </row>
    <row r="131" customFormat="false" ht="22.35" hidden="false" customHeight="false" outlineLevel="0" collapsed="false">
      <c r="A131" s="11" t="s">
        <v>541</v>
      </c>
      <c r="B131" s="11" t="s">
        <v>14</v>
      </c>
      <c r="C131" s="11" t="s">
        <v>396</v>
      </c>
      <c r="D131" s="12" t="s">
        <v>542</v>
      </c>
      <c r="E131" s="12" t="s">
        <v>543</v>
      </c>
      <c r="F131" s="12" t="s">
        <v>542</v>
      </c>
      <c r="G131" s="11" t="s">
        <v>72</v>
      </c>
      <c r="H131" s="11" t="s">
        <v>6</v>
      </c>
      <c r="I131" s="13" t="n">
        <v>0.166666666666667</v>
      </c>
      <c r="J131" s="11" t="s">
        <v>49</v>
      </c>
      <c r="K131" s="12"/>
      <c r="L131" s="12" t="s">
        <v>544</v>
      </c>
      <c r="M131" s="11" t="s">
        <v>50</v>
      </c>
      <c r="N131" s="12" t="s">
        <v>528</v>
      </c>
      <c r="O131" s="11" t="s">
        <v>25</v>
      </c>
      <c r="P131" s="11" t="s">
        <v>52</v>
      </c>
      <c r="Q131" s="12"/>
    </row>
    <row r="132" customFormat="false" ht="32.8" hidden="false" customHeight="false" outlineLevel="0" collapsed="false">
      <c r="A132" s="11" t="s">
        <v>545</v>
      </c>
      <c r="B132" s="11" t="s">
        <v>14</v>
      </c>
      <c r="C132" s="11" t="s">
        <v>396</v>
      </c>
      <c r="D132" s="12" t="s">
        <v>546</v>
      </c>
      <c r="E132" s="12" t="s">
        <v>547</v>
      </c>
      <c r="F132" s="12" t="s">
        <v>546</v>
      </c>
      <c r="G132" s="11" t="s">
        <v>72</v>
      </c>
      <c r="H132" s="11" t="s">
        <v>5</v>
      </c>
      <c r="I132" s="13" t="n">
        <v>0.294117647058824</v>
      </c>
      <c r="J132" s="11" t="s">
        <v>49</v>
      </c>
      <c r="K132" s="12" t="s">
        <v>548</v>
      </c>
      <c r="L132" s="12" t="s">
        <v>549</v>
      </c>
      <c r="M132" s="11" t="s">
        <v>50</v>
      </c>
      <c r="N132" s="12" t="s">
        <v>489</v>
      </c>
      <c r="O132" s="11" t="s">
        <v>25</v>
      </c>
      <c r="P132" s="11" t="s">
        <v>52</v>
      </c>
      <c r="Q132" s="12"/>
    </row>
    <row r="133" customFormat="false" ht="32.8" hidden="false" customHeight="false" outlineLevel="0" collapsed="false">
      <c r="A133" s="11" t="s">
        <v>550</v>
      </c>
      <c r="B133" s="11" t="s">
        <v>14</v>
      </c>
      <c r="C133" s="11" t="s">
        <v>396</v>
      </c>
      <c r="D133" s="12" t="s">
        <v>551</v>
      </c>
      <c r="E133" s="12" t="s">
        <v>552</v>
      </c>
      <c r="F133" s="12" t="s">
        <v>551</v>
      </c>
      <c r="G133" s="11" t="s">
        <v>72</v>
      </c>
      <c r="H133" s="11" t="s">
        <v>4</v>
      </c>
      <c r="I133" s="13" t="n">
        <v>0.625</v>
      </c>
      <c r="J133" s="11" t="s">
        <v>49</v>
      </c>
      <c r="K133" s="12" t="s">
        <v>553</v>
      </c>
      <c r="L133" s="12" t="s">
        <v>554</v>
      </c>
      <c r="M133" s="11" t="s">
        <v>50</v>
      </c>
      <c r="N133" s="12" t="s">
        <v>51</v>
      </c>
      <c r="O133" s="11" t="s">
        <v>27</v>
      </c>
      <c r="P133" s="11" t="s">
        <v>52</v>
      </c>
      <c r="Q133" s="12"/>
    </row>
    <row r="134" customFormat="false" ht="43.25" hidden="false" customHeight="false" outlineLevel="0" collapsed="false">
      <c r="A134" s="11" t="s">
        <v>555</v>
      </c>
      <c r="B134" s="11" t="s">
        <v>14</v>
      </c>
      <c r="C134" s="11" t="s">
        <v>396</v>
      </c>
      <c r="D134" s="12" t="s">
        <v>556</v>
      </c>
      <c r="E134" s="12" t="s">
        <v>557</v>
      </c>
      <c r="F134" s="12" t="s">
        <v>556</v>
      </c>
      <c r="G134" s="11" t="s">
        <v>72</v>
      </c>
      <c r="H134" s="11" t="s">
        <v>5</v>
      </c>
      <c r="I134" s="13" t="n">
        <v>0.4</v>
      </c>
      <c r="J134" s="11" t="s">
        <v>49</v>
      </c>
      <c r="K134" s="12" t="s">
        <v>558</v>
      </c>
      <c r="L134" s="12" t="s">
        <v>559</v>
      </c>
      <c r="M134" s="11" t="s">
        <v>50</v>
      </c>
      <c r="N134" s="12" t="s">
        <v>489</v>
      </c>
      <c r="O134" s="11" t="s">
        <v>25</v>
      </c>
      <c r="P134" s="11" t="s">
        <v>52</v>
      </c>
      <c r="Q134" s="12"/>
    </row>
    <row r="135" customFormat="false" ht="22.35" hidden="false" customHeight="false" outlineLevel="0" collapsed="false">
      <c r="A135" s="11" t="s">
        <v>560</v>
      </c>
      <c r="B135" s="11" t="s">
        <v>14</v>
      </c>
      <c r="C135" s="11" t="s">
        <v>396</v>
      </c>
      <c r="D135" s="12" t="s">
        <v>102</v>
      </c>
      <c r="E135" s="12" t="s">
        <v>561</v>
      </c>
      <c r="F135" s="12" t="s">
        <v>102</v>
      </c>
      <c r="G135" s="11" t="s">
        <v>48</v>
      </c>
      <c r="H135" s="11" t="s">
        <v>9</v>
      </c>
      <c r="I135" s="13"/>
      <c r="J135" s="11" t="s">
        <v>49</v>
      </c>
      <c r="K135" s="12"/>
      <c r="L135" s="12"/>
      <c r="M135" s="11" t="s">
        <v>50</v>
      </c>
      <c r="N135" s="12" t="s">
        <v>51</v>
      </c>
      <c r="O135" s="11" t="s">
        <v>28</v>
      </c>
      <c r="P135" s="11" t="s">
        <v>52</v>
      </c>
      <c r="Q135" s="12" t="s">
        <v>53</v>
      </c>
    </row>
    <row r="136" customFormat="false" ht="22.35" hidden="false" customHeight="false" outlineLevel="0" collapsed="false">
      <c r="A136" s="11" t="s">
        <v>562</v>
      </c>
      <c r="B136" s="11" t="s">
        <v>14</v>
      </c>
      <c r="C136" s="11" t="s">
        <v>396</v>
      </c>
      <c r="D136" s="12" t="s">
        <v>116</v>
      </c>
      <c r="E136" s="12" t="s">
        <v>563</v>
      </c>
      <c r="F136" s="12" t="s">
        <v>116</v>
      </c>
      <c r="G136" s="11" t="s">
        <v>48</v>
      </c>
      <c r="H136" s="11" t="s">
        <v>9</v>
      </c>
      <c r="I136" s="13"/>
      <c r="J136" s="11" t="s">
        <v>49</v>
      </c>
      <c r="K136" s="12"/>
      <c r="L136" s="12"/>
      <c r="M136" s="11" t="s">
        <v>50</v>
      </c>
      <c r="N136" s="12" t="s">
        <v>51</v>
      </c>
      <c r="O136" s="11" t="s">
        <v>28</v>
      </c>
      <c r="P136" s="11" t="s">
        <v>52</v>
      </c>
      <c r="Q136" s="12" t="s">
        <v>53</v>
      </c>
    </row>
    <row r="137" customFormat="false" ht="15" hidden="false" customHeight="false" outlineLevel="0" collapsed="false">
      <c r="A137" s="11" t="s">
        <v>564</v>
      </c>
      <c r="B137" s="11" t="s">
        <v>14</v>
      </c>
      <c r="C137" s="11" t="s">
        <v>396</v>
      </c>
      <c r="D137" s="12" t="s">
        <v>565</v>
      </c>
      <c r="E137" s="12" t="s">
        <v>566</v>
      </c>
      <c r="F137" s="12" t="s">
        <v>565</v>
      </c>
      <c r="G137" s="11" t="s">
        <v>72</v>
      </c>
      <c r="H137" s="11" t="s">
        <v>9</v>
      </c>
      <c r="I137" s="13"/>
      <c r="J137" s="11" t="s">
        <v>49</v>
      </c>
      <c r="K137" s="12"/>
      <c r="L137" s="12"/>
      <c r="M137" s="11" t="s">
        <v>50</v>
      </c>
      <c r="N137" s="12" t="s">
        <v>51</v>
      </c>
      <c r="O137" s="11" t="s">
        <v>28</v>
      </c>
      <c r="P137" s="11" t="s">
        <v>52</v>
      </c>
      <c r="Q137" s="12" t="s">
        <v>60</v>
      </c>
    </row>
    <row r="138" customFormat="false" ht="15" hidden="false" customHeight="false" outlineLevel="0" collapsed="false">
      <c r="A138" s="11" t="s">
        <v>567</v>
      </c>
      <c r="B138" s="11" t="s">
        <v>14</v>
      </c>
      <c r="C138" s="11" t="s">
        <v>396</v>
      </c>
      <c r="D138" s="12" t="s">
        <v>74</v>
      </c>
      <c r="E138" s="12" t="s">
        <v>568</v>
      </c>
      <c r="F138" s="12" t="s">
        <v>569</v>
      </c>
      <c r="G138" s="11" t="s">
        <v>72</v>
      </c>
      <c r="H138" s="11" t="s">
        <v>9</v>
      </c>
      <c r="I138" s="13"/>
      <c r="J138" s="11" t="s">
        <v>49</v>
      </c>
      <c r="K138" s="12"/>
      <c r="L138" s="12" t="s">
        <v>394</v>
      </c>
      <c r="M138" s="11" t="s">
        <v>50</v>
      </c>
      <c r="N138" s="12" t="s">
        <v>51</v>
      </c>
      <c r="O138" s="11" t="s">
        <v>28</v>
      </c>
      <c r="P138" s="11" t="s">
        <v>52</v>
      </c>
      <c r="Q138" s="12" t="s">
        <v>60</v>
      </c>
    </row>
    <row r="139" customFormat="false" ht="22.35" hidden="false" customHeight="false" outlineLevel="0" collapsed="false">
      <c r="A139" s="11" t="s">
        <v>570</v>
      </c>
      <c r="B139" s="11" t="s">
        <v>14</v>
      </c>
      <c r="C139" s="11" t="s">
        <v>571</v>
      </c>
      <c r="D139" s="12" t="s">
        <v>62</v>
      </c>
      <c r="E139" s="12" t="s">
        <v>572</v>
      </c>
      <c r="F139" s="12" t="s">
        <v>62</v>
      </c>
      <c r="G139" s="11" t="s">
        <v>48</v>
      </c>
      <c r="H139" s="11" t="s">
        <v>9</v>
      </c>
      <c r="I139" s="13"/>
      <c r="J139" s="11" t="s">
        <v>49</v>
      </c>
      <c r="K139" s="12"/>
      <c r="L139" s="12"/>
      <c r="M139" s="11" t="s">
        <v>50</v>
      </c>
      <c r="N139" s="12" t="s">
        <v>51</v>
      </c>
      <c r="O139" s="11" t="s">
        <v>28</v>
      </c>
      <c r="P139" s="11" t="s">
        <v>52</v>
      </c>
      <c r="Q139" s="12" t="s">
        <v>53</v>
      </c>
    </row>
    <row r="140" customFormat="false" ht="22.35" hidden="false" customHeight="false" outlineLevel="0" collapsed="false">
      <c r="A140" s="11" t="s">
        <v>573</v>
      </c>
      <c r="B140" s="11" t="s">
        <v>14</v>
      </c>
      <c r="C140" s="11" t="s">
        <v>571</v>
      </c>
      <c r="D140" s="12" t="s">
        <v>74</v>
      </c>
      <c r="E140" s="12" t="s">
        <v>574</v>
      </c>
      <c r="F140" s="12" t="s">
        <v>575</v>
      </c>
      <c r="G140" s="11" t="s">
        <v>72</v>
      </c>
      <c r="H140" s="11" t="s">
        <v>4</v>
      </c>
      <c r="I140" s="13" t="n">
        <v>1</v>
      </c>
      <c r="J140" s="11" t="s">
        <v>49</v>
      </c>
      <c r="K140" s="12" t="s">
        <v>576</v>
      </c>
      <c r="L140" s="12"/>
      <c r="M140" s="11" t="s">
        <v>50</v>
      </c>
      <c r="N140" s="12" t="s">
        <v>51</v>
      </c>
      <c r="O140" s="11" t="s">
        <v>27</v>
      </c>
      <c r="P140" s="11" t="s">
        <v>52</v>
      </c>
      <c r="Q140" s="12"/>
    </row>
    <row r="141" customFormat="false" ht="32.8" hidden="false" customHeight="false" outlineLevel="0" collapsed="false">
      <c r="A141" s="11" t="s">
        <v>577</v>
      </c>
      <c r="B141" s="11" t="s">
        <v>14</v>
      </c>
      <c r="C141" s="11" t="s">
        <v>571</v>
      </c>
      <c r="D141" s="12" t="s">
        <v>578</v>
      </c>
      <c r="E141" s="12" t="s">
        <v>579</v>
      </c>
      <c r="F141" s="12" t="s">
        <v>580</v>
      </c>
      <c r="G141" s="11" t="s">
        <v>72</v>
      </c>
      <c r="H141" s="11" t="s">
        <v>4</v>
      </c>
      <c r="I141" s="13"/>
      <c r="J141" s="11" t="s">
        <v>49</v>
      </c>
      <c r="K141" s="12" t="s">
        <v>581</v>
      </c>
      <c r="L141" s="12" t="s">
        <v>582</v>
      </c>
      <c r="M141" s="11" t="s">
        <v>50</v>
      </c>
      <c r="N141" s="12" t="s">
        <v>51</v>
      </c>
      <c r="O141" s="11" t="s">
        <v>27</v>
      </c>
      <c r="P141" s="11" t="s">
        <v>52</v>
      </c>
      <c r="Q141" s="12" t="s">
        <v>210</v>
      </c>
    </row>
    <row r="142" customFormat="false" ht="32.8" hidden="false" customHeight="false" outlineLevel="0" collapsed="false">
      <c r="A142" s="11" t="s">
        <v>583</v>
      </c>
      <c r="B142" s="11" t="s">
        <v>14</v>
      </c>
      <c r="C142" s="11" t="s">
        <v>571</v>
      </c>
      <c r="D142" s="12" t="s">
        <v>584</v>
      </c>
      <c r="E142" s="12" t="s">
        <v>585</v>
      </c>
      <c r="F142" s="12" t="s">
        <v>586</v>
      </c>
      <c r="G142" s="11" t="s">
        <v>72</v>
      </c>
      <c r="H142" s="11" t="s">
        <v>4</v>
      </c>
      <c r="I142" s="13" t="n">
        <v>0.4</v>
      </c>
      <c r="J142" s="11" t="s">
        <v>49</v>
      </c>
      <c r="K142" s="12" t="s">
        <v>587</v>
      </c>
      <c r="L142" s="12" t="s">
        <v>588</v>
      </c>
      <c r="M142" s="11" t="s">
        <v>50</v>
      </c>
      <c r="N142" s="12" t="s">
        <v>51</v>
      </c>
      <c r="O142" s="11" t="s">
        <v>27</v>
      </c>
      <c r="P142" s="11" t="s">
        <v>52</v>
      </c>
      <c r="Q142" s="12"/>
    </row>
    <row r="143" customFormat="false" ht="43.25" hidden="false" customHeight="false" outlineLevel="0" collapsed="false">
      <c r="A143" s="11" t="s">
        <v>589</v>
      </c>
      <c r="B143" s="11" t="s">
        <v>14</v>
      </c>
      <c r="C143" s="11" t="s">
        <v>571</v>
      </c>
      <c r="D143" s="12" t="s">
        <v>590</v>
      </c>
      <c r="E143" s="12" t="s">
        <v>591</v>
      </c>
      <c r="F143" s="12" t="s">
        <v>592</v>
      </c>
      <c r="G143" s="11" t="s">
        <v>72</v>
      </c>
      <c r="H143" s="11" t="s">
        <v>5</v>
      </c>
      <c r="I143" s="13" t="n">
        <v>0.272727272727273</v>
      </c>
      <c r="J143" s="11" t="s">
        <v>49</v>
      </c>
      <c r="K143" s="12" t="s">
        <v>593</v>
      </c>
      <c r="L143" s="12" t="s">
        <v>594</v>
      </c>
      <c r="M143" s="11" t="s">
        <v>50</v>
      </c>
      <c r="N143" s="12" t="s">
        <v>489</v>
      </c>
      <c r="O143" s="11" t="s">
        <v>25</v>
      </c>
      <c r="P143" s="11" t="s">
        <v>52</v>
      </c>
      <c r="Q143" s="12"/>
    </row>
    <row r="144" customFormat="false" ht="43.25" hidden="false" customHeight="false" outlineLevel="0" collapsed="false">
      <c r="A144" s="11" t="s">
        <v>595</v>
      </c>
      <c r="B144" s="11" t="s">
        <v>14</v>
      </c>
      <c r="C144" s="11" t="s">
        <v>571</v>
      </c>
      <c r="D144" s="12" t="s">
        <v>596</v>
      </c>
      <c r="E144" s="12" t="s">
        <v>597</v>
      </c>
      <c r="F144" s="12" t="s">
        <v>598</v>
      </c>
      <c r="G144" s="11" t="s">
        <v>72</v>
      </c>
      <c r="H144" s="11" t="s">
        <v>4</v>
      </c>
      <c r="I144" s="13" t="n">
        <v>0.36</v>
      </c>
      <c r="J144" s="11" t="s">
        <v>49</v>
      </c>
      <c r="K144" s="12" t="s">
        <v>599</v>
      </c>
      <c r="L144" s="12" t="s">
        <v>600</v>
      </c>
      <c r="M144" s="11" t="s">
        <v>50</v>
      </c>
      <c r="N144" s="12" t="s">
        <v>51</v>
      </c>
      <c r="O144" s="11" t="s">
        <v>27</v>
      </c>
      <c r="P144" s="11" t="s">
        <v>52</v>
      </c>
      <c r="Q144" s="12"/>
    </row>
    <row r="145" customFormat="false" ht="64.15" hidden="false" customHeight="false" outlineLevel="0" collapsed="false">
      <c r="A145" s="11" t="s">
        <v>601</v>
      </c>
      <c r="B145" s="11" t="s">
        <v>14</v>
      </c>
      <c r="C145" s="11" t="s">
        <v>571</v>
      </c>
      <c r="D145" s="12" t="s">
        <v>602</v>
      </c>
      <c r="E145" s="12" t="s">
        <v>603</v>
      </c>
      <c r="F145" s="12" t="s">
        <v>604</v>
      </c>
      <c r="G145" s="11" t="s">
        <v>72</v>
      </c>
      <c r="H145" s="11" t="s">
        <v>5</v>
      </c>
      <c r="I145" s="13" t="n">
        <v>0.321428571428572</v>
      </c>
      <c r="J145" s="11" t="s">
        <v>49</v>
      </c>
      <c r="K145" s="12" t="s">
        <v>605</v>
      </c>
      <c r="L145" s="12" t="s">
        <v>606</v>
      </c>
      <c r="M145" s="11" t="s">
        <v>50</v>
      </c>
      <c r="N145" s="12" t="s">
        <v>412</v>
      </c>
      <c r="O145" s="11" t="s">
        <v>25</v>
      </c>
      <c r="P145" s="11" t="s">
        <v>52</v>
      </c>
      <c r="Q145" s="12"/>
    </row>
    <row r="146" customFormat="false" ht="43.25" hidden="false" customHeight="false" outlineLevel="0" collapsed="false">
      <c r="A146" s="11" t="s">
        <v>607</v>
      </c>
      <c r="B146" s="11" t="s">
        <v>14</v>
      </c>
      <c r="C146" s="11" t="s">
        <v>571</v>
      </c>
      <c r="D146" s="12" t="s">
        <v>608</v>
      </c>
      <c r="E146" s="12" t="s">
        <v>609</v>
      </c>
      <c r="F146" s="12" t="s">
        <v>610</v>
      </c>
      <c r="G146" s="11" t="s">
        <v>72</v>
      </c>
      <c r="H146" s="11" t="s">
        <v>4</v>
      </c>
      <c r="I146" s="13" t="n">
        <v>0.555555555555556</v>
      </c>
      <c r="J146" s="11" t="s">
        <v>49</v>
      </c>
      <c r="K146" s="12" t="s">
        <v>611</v>
      </c>
      <c r="L146" s="12" t="s">
        <v>612</v>
      </c>
      <c r="M146" s="11" t="s">
        <v>50</v>
      </c>
      <c r="N146" s="12" t="s">
        <v>51</v>
      </c>
      <c r="O146" s="11" t="s">
        <v>27</v>
      </c>
      <c r="P146" s="11" t="s">
        <v>52</v>
      </c>
      <c r="Q146" s="12"/>
    </row>
    <row r="147" customFormat="false" ht="43.25" hidden="false" customHeight="false" outlineLevel="0" collapsed="false">
      <c r="A147" s="11" t="s">
        <v>613</v>
      </c>
      <c r="B147" s="11" t="s">
        <v>14</v>
      </c>
      <c r="C147" s="11" t="s">
        <v>571</v>
      </c>
      <c r="D147" s="12" t="s">
        <v>614</v>
      </c>
      <c r="E147" s="12" t="s">
        <v>615</v>
      </c>
      <c r="F147" s="12" t="s">
        <v>616</v>
      </c>
      <c r="G147" s="11" t="s">
        <v>72</v>
      </c>
      <c r="H147" s="11" t="s">
        <v>4</v>
      </c>
      <c r="I147" s="13" t="n">
        <v>0.424242424242424</v>
      </c>
      <c r="J147" s="11" t="s">
        <v>49</v>
      </c>
      <c r="K147" s="12" t="s">
        <v>617</v>
      </c>
      <c r="L147" s="12" t="s">
        <v>618</v>
      </c>
      <c r="M147" s="11" t="s">
        <v>50</v>
      </c>
      <c r="N147" s="12" t="s">
        <v>51</v>
      </c>
      <c r="O147" s="11" t="s">
        <v>27</v>
      </c>
      <c r="P147" s="11" t="s">
        <v>52</v>
      </c>
      <c r="Q147" s="12"/>
    </row>
    <row r="148" customFormat="false" ht="22.35" hidden="false" customHeight="false" outlineLevel="0" collapsed="false">
      <c r="A148" s="11" t="s">
        <v>619</v>
      </c>
      <c r="B148" s="11" t="s">
        <v>14</v>
      </c>
      <c r="C148" s="11" t="s">
        <v>571</v>
      </c>
      <c r="D148" s="12" t="s">
        <v>620</v>
      </c>
      <c r="E148" s="12" t="s">
        <v>621</v>
      </c>
      <c r="F148" s="12" t="s">
        <v>620</v>
      </c>
      <c r="G148" s="11" t="s">
        <v>72</v>
      </c>
      <c r="H148" s="11" t="s">
        <v>4</v>
      </c>
      <c r="I148" s="13"/>
      <c r="J148" s="11" t="s">
        <v>49</v>
      </c>
      <c r="K148" s="12" t="s">
        <v>581</v>
      </c>
      <c r="L148" s="12"/>
      <c r="M148" s="11" t="s">
        <v>50</v>
      </c>
      <c r="N148" s="12" t="s">
        <v>51</v>
      </c>
      <c r="O148" s="11" t="s">
        <v>27</v>
      </c>
      <c r="P148" s="11" t="s">
        <v>52</v>
      </c>
      <c r="Q148" s="12" t="s">
        <v>210</v>
      </c>
    </row>
    <row r="149" customFormat="false" ht="22.35" hidden="false" customHeight="false" outlineLevel="0" collapsed="false">
      <c r="A149" s="11" t="s">
        <v>622</v>
      </c>
      <c r="B149" s="11" t="s">
        <v>14</v>
      </c>
      <c r="C149" s="11" t="s">
        <v>571</v>
      </c>
      <c r="D149" s="12" t="s">
        <v>102</v>
      </c>
      <c r="E149" s="12" t="s">
        <v>623</v>
      </c>
      <c r="F149" s="12" t="s">
        <v>102</v>
      </c>
      <c r="G149" s="11" t="s">
        <v>48</v>
      </c>
      <c r="H149" s="11" t="s">
        <v>9</v>
      </c>
      <c r="I149" s="13"/>
      <c r="J149" s="11" t="s">
        <v>49</v>
      </c>
      <c r="K149" s="12" t="s">
        <v>581</v>
      </c>
      <c r="L149" s="12"/>
      <c r="M149" s="11" t="s">
        <v>50</v>
      </c>
      <c r="N149" s="12" t="s">
        <v>51</v>
      </c>
      <c r="O149" s="11" t="s">
        <v>28</v>
      </c>
      <c r="P149" s="11" t="s">
        <v>52</v>
      </c>
      <c r="Q149" s="12" t="s">
        <v>53</v>
      </c>
    </row>
    <row r="150" customFormat="false" ht="53.7" hidden="false" customHeight="false" outlineLevel="0" collapsed="false">
      <c r="A150" s="11" t="s">
        <v>624</v>
      </c>
      <c r="B150" s="11" t="s">
        <v>14</v>
      </c>
      <c r="C150" s="11" t="s">
        <v>571</v>
      </c>
      <c r="D150" s="12" t="s">
        <v>74</v>
      </c>
      <c r="E150" s="12" t="s">
        <v>625</v>
      </c>
      <c r="F150" s="12" t="s">
        <v>626</v>
      </c>
      <c r="G150" s="11" t="s">
        <v>72</v>
      </c>
      <c r="H150" s="11" t="s">
        <v>4</v>
      </c>
      <c r="I150" s="13" t="n">
        <v>0.625</v>
      </c>
      <c r="J150" s="11" t="s">
        <v>49</v>
      </c>
      <c r="K150" s="12" t="s">
        <v>627</v>
      </c>
      <c r="L150" s="12" t="s">
        <v>628</v>
      </c>
      <c r="M150" s="11" t="s">
        <v>50</v>
      </c>
      <c r="N150" s="12" t="s">
        <v>51</v>
      </c>
      <c r="O150" s="11" t="s">
        <v>27</v>
      </c>
      <c r="P150" s="11" t="s">
        <v>52</v>
      </c>
      <c r="Q150" s="12"/>
    </row>
    <row r="151" customFormat="false" ht="15" hidden="false" customHeight="false" outlineLevel="0" collapsed="false">
      <c r="A151" s="11" t="s">
        <v>629</v>
      </c>
      <c r="B151" s="11" t="s">
        <v>14</v>
      </c>
      <c r="C151" s="11" t="s">
        <v>571</v>
      </c>
      <c r="D151" s="12" t="s">
        <v>74</v>
      </c>
      <c r="E151" s="12" t="s">
        <v>630</v>
      </c>
      <c r="F151" s="12" t="s">
        <v>631</v>
      </c>
      <c r="G151" s="11" t="s">
        <v>72</v>
      </c>
      <c r="H151" s="11" t="s">
        <v>9</v>
      </c>
      <c r="I151" s="13"/>
      <c r="J151" s="11" t="s">
        <v>49</v>
      </c>
      <c r="K151" s="12" t="s">
        <v>632</v>
      </c>
      <c r="L151" s="12" t="s">
        <v>394</v>
      </c>
      <c r="M151" s="11" t="s">
        <v>50</v>
      </c>
      <c r="N151" s="12" t="s">
        <v>51</v>
      </c>
      <c r="O151" s="11" t="s">
        <v>28</v>
      </c>
      <c r="P151" s="11" t="s">
        <v>52</v>
      </c>
      <c r="Q151" s="12" t="s">
        <v>60</v>
      </c>
    </row>
    <row r="152" customFormat="false" ht="22.35" hidden="false" customHeight="false" outlineLevel="0" collapsed="false">
      <c r="A152" s="11" t="s">
        <v>633</v>
      </c>
      <c r="B152" s="11" t="s">
        <v>14</v>
      </c>
      <c r="C152" s="11" t="s">
        <v>634</v>
      </c>
      <c r="D152" s="12" t="s">
        <v>447</v>
      </c>
      <c r="E152" s="12" t="s">
        <v>635</v>
      </c>
      <c r="F152" s="12" t="s">
        <v>447</v>
      </c>
      <c r="G152" s="11" t="s">
        <v>59</v>
      </c>
      <c r="H152" s="11" t="s">
        <v>4</v>
      </c>
      <c r="I152" s="13"/>
      <c r="J152" s="11" t="s">
        <v>49</v>
      </c>
      <c r="K152" s="12" t="s">
        <v>636</v>
      </c>
      <c r="L152" s="12"/>
      <c r="M152" s="11" t="s">
        <v>50</v>
      </c>
      <c r="N152" s="12" t="s">
        <v>51</v>
      </c>
      <c r="O152" s="11" t="s">
        <v>27</v>
      </c>
      <c r="P152" s="11" t="s">
        <v>52</v>
      </c>
      <c r="Q152" s="12" t="s">
        <v>210</v>
      </c>
    </row>
    <row r="153" customFormat="false" ht="22.35" hidden="false" customHeight="false" outlineLevel="0" collapsed="false">
      <c r="A153" s="11" t="s">
        <v>637</v>
      </c>
      <c r="B153" s="11" t="s">
        <v>14</v>
      </c>
      <c r="C153" s="11" t="s">
        <v>634</v>
      </c>
      <c r="D153" s="12" t="s">
        <v>62</v>
      </c>
      <c r="E153" s="12" t="s">
        <v>638</v>
      </c>
      <c r="F153" s="12" t="s">
        <v>62</v>
      </c>
      <c r="G153" s="11" t="s">
        <v>48</v>
      </c>
      <c r="H153" s="11" t="s">
        <v>9</v>
      </c>
      <c r="I153" s="13"/>
      <c r="J153" s="11" t="s">
        <v>49</v>
      </c>
      <c r="K153" s="12" t="s">
        <v>636</v>
      </c>
      <c r="L153" s="12"/>
      <c r="M153" s="11" t="s">
        <v>50</v>
      </c>
      <c r="N153" s="12" t="s">
        <v>51</v>
      </c>
      <c r="O153" s="11" t="s">
        <v>28</v>
      </c>
      <c r="P153" s="11" t="s">
        <v>52</v>
      </c>
      <c r="Q153" s="12" t="s">
        <v>53</v>
      </c>
    </row>
    <row r="154" customFormat="false" ht="22.35" hidden="false" customHeight="false" outlineLevel="0" collapsed="false">
      <c r="A154" s="11" t="s">
        <v>639</v>
      </c>
      <c r="B154" s="11" t="s">
        <v>14</v>
      </c>
      <c r="C154" s="11" t="s">
        <v>634</v>
      </c>
      <c r="D154" s="12" t="s">
        <v>93</v>
      </c>
      <c r="E154" s="12" t="s">
        <v>640</v>
      </c>
      <c r="F154" s="12" t="s">
        <v>93</v>
      </c>
      <c r="G154" s="11" t="s">
        <v>48</v>
      </c>
      <c r="H154" s="11" t="s">
        <v>9</v>
      </c>
      <c r="I154" s="13"/>
      <c r="J154" s="11" t="s">
        <v>49</v>
      </c>
      <c r="K154" s="12" t="s">
        <v>636</v>
      </c>
      <c r="L154" s="12"/>
      <c r="M154" s="11" t="s">
        <v>50</v>
      </c>
      <c r="N154" s="12" t="s">
        <v>51</v>
      </c>
      <c r="O154" s="11" t="s">
        <v>28</v>
      </c>
      <c r="P154" s="11" t="s">
        <v>52</v>
      </c>
      <c r="Q154" s="12" t="s">
        <v>53</v>
      </c>
    </row>
    <row r="155" customFormat="false" ht="22.35" hidden="false" customHeight="false" outlineLevel="0" collapsed="false">
      <c r="A155" s="11" t="s">
        <v>641</v>
      </c>
      <c r="B155" s="11" t="s">
        <v>14</v>
      </c>
      <c r="C155" s="11" t="s">
        <v>634</v>
      </c>
      <c r="D155" s="12" t="s">
        <v>642</v>
      </c>
      <c r="E155" s="12" t="s">
        <v>643</v>
      </c>
      <c r="F155" s="12" t="s">
        <v>642</v>
      </c>
      <c r="G155" s="11" t="s">
        <v>72</v>
      </c>
      <c r="H155" s="11" t="s">
        <v>4</v>
      </c>
      <c r="I155" s="13"/>
      <c r="J155" s="11" t="s">
        <v>49</v>
      </c>
      <c r="K155" s="12" t="s">
        <v>644</v>
      </c>
      <c r="L155" s="12"/>
      <c r="M155" s="11" t="s">
        <v>50</v>
      </c>
      <c r="N155" s="12" t="s">
        <v>51</v>
      </c>
      <c r="O155" s="11" t="s">
        <v>27</v>
      </c>
      <c r="P155" s="11" t="s">
        <v>52</v>
      </c>
      <c r="Q155" s="12" t="s">
        <v>210</v>
      </c>
    </row>
    <row r="156" customFormat="false" ht="22.35" hidden="false" customHeight="false" outlineLevel="0" collapsed="false">
      <c r="A156" s="11" t="s">
        <v>645</v>
      </c>
      <c r="B156" s="11" t="s">
        <v>14</v>
      </c>
      <c r="C156" s="11" t="s">
        <v>634</v>
      </c>
      <c r="D156" s="12" t="s">
        <v>74</v>
      </c>
      <c r="E156" s="12" t="s">
        <v>646</v>
      </c>
      <c r="F156" s="12" t="s">
        <v>647</v>
      </c>
      <c r="G156" s="11" t="s">
        <v>59</v>
      </c>
      <c r="H156" s="11" t="s">
        <v>4</v>
      </c>
      <c r="I156" s="13" t="n">
        <v>0.941176470588235</v>
      </c>
      <c r="J156" s="11" t="s">
        <v>49</v>
      </c>
      <c r="K156" s="12" t="s">
        <v>648</v>
      </c>
      <c r="L156" s="12" t="s">
        <v>649</v>
      </c>
      <c r="M156" s="11" t="s">
        <v>50</v>
      </c>
      <c r="N156" s="12" t="s">
        <v>51</v>
      </c>
      <c r="O156" s="11" t="s">
        <v>27</v>
      </c>
      <c r="P156" s="11" t="s">
        <v>52</v>
      </c>
      <c r="Q156" s="12"/>
    </row>
    <row r="157" customFormat="false" ht="22.35" hidden="false" customHeight="false" outlineLevel="0" collapsed="false">
      <c r="A157" s="11" t="s">
        <v>650</v>
      </c>
      <c r="B157" s="11" t="s">
        <v>14</v>
      </c>
      <c r="C157" s="11" t="s">
        <v>634</v>
      </c>
      <c r="D157" s="12" t="s">
        <v>651</v>
      </c>
      <c r="E157" s="12" t="s">
        <v>652</v>
      </c>
      <c r="F157" s="12" t="s">
        <v>651</v>
      </c>
      <c r="G157" s="11" t="s">
        <v>72</v>
      </c>
      <c r="H157" s="11" t="s">
        <v>4</v>
      </c>
      <c r="I157" s="13"/>
      <c r="J157" s="11" t="s">
        <v>49</v>
      </c>
      <c r="K157" s="12" t="s">
        <v>636</v>
      </c>
      <c r="L157" s="12"/>
      <c r="M157" s="11" t="s">
        <v>50</v>
      </c>
      <c r="N157" s="12" t="s">
        <v>51</v>
      </c>
      <c r="O157" s="11" t="s">
        <v>27</v>
      </c>
      <c r="P157" s="11" t="s">
        <v>52</v>
      </c>
      <c r="Q157" s="12" t="s">
        <v>210</v>
      </c>
    </row>
    <row r="158" customFormat="false" ht="22.35" hidden="false" customHeight="false" outlineLevel="0" collapsed="false">
      <c r="A158" s="11" t="s">
        <v>653</v>
      </c>
      <c r="B158" s="11" t="s">
        <v>14</v>
      </c>
      <c r="C158" s="11" t="s">
        <v>634</v>
      </c>
      <c r="D158" s="12" t="s">
        <v>654</v>
      </c>
      <c r="E158" s="12" t="s">
        <v>655</v>
      </c>
      <c r="F158" s="12" t="s">
        <v>656</v>
      </c>
      <c r="G158" s="11" t="s">
        <v>59</v>
      </c>
      <c r="H158" s="11" t="s">
        <v>4</v>
      </c>
      <c r="I158" s="13" t="n">
        <v>1</v>
      </c>
      <c r="J158" s="11" t="s">
        <v>49</v>
      </c>
      <c r="K158" s="12" t="s">
        <v>657</v>
      </c>
      <c r="L158" s="12"/>
      <c r="M158" s="11" t="s">
        <v>50</v>
      </c>
      <c r="N158" s="12" t="s">
        <v>51</v>
      </c>
      <c r="O158" s="11" t="s">
        <v>27</v>
      </c>
      <c r="P158" s="11" t="s">
        <v>52</v>
      </c>
      <c r="Q158" s="12"/>
    </row>
    <row r="159" customFormat="false" ht="22.35" hidden="false" customHeight="false" outlineLevel="0" collapsed="false">
      <c r="A159" s="11" t="s">
        <v>658</v>
      </c>
      <c r="B159" s="11" t="s">
        <v>14</v>
      </c>
      <c r="C159" s="11" t="s">
        <v>634</v>
      </c>
      <c r="D159" s="12" t="s">
        <v>659</v>
      </c>
      <c r="E159" s="12" t="s">
        <v>660</v>
      </c>
      <c r="F159" s="12" t="s">
        <v>659</v>
      </c>
      <c r="G159" s="11" t="s">
        <v>59</v>
      </c>
      <c r="H159" s="11" t="s">
        <v>4</v>
      </c>
      <c r="I159" s="13" t="n">
        <v>0.833333333333333</v>
      </c>
      <c r="J159" s="11" t="s">
        <v>49</v>
      </c>
      <c r="K159" s="12" t="s">
        <v>661</v>
      </c>
      <c r="L159" s="12" t="s">
        <v>662</v>
      </c>
      <c r="M159" s="11" t="s">
        <v>50</v>
      </c>
      <c r="N159" s="12" t="s">
        <v>51</v>
      </c>
      <c r="O159" s="11" t="s">
        <v>27</v>
      </c>
      <c r="P159" s="11" t="s">
        <v>52</v>
      </c>
      <c r="Q159" s="12"/>
    </row>
    <row r="160" customFormat="false" ht="22.35" hidden="false" customHeight="false" outlineLevel="0" collapsed="false">
      <c r="A160" s="11" t="s">
        <v>663</v>
      </c>
      <c r="B160" s="11" t="s">
        <v>14</v>
      </c>
      <c r="C160" s="11" t="s">
        <v>634</v>
      </c>
      <c r="D160" s="12" t="s">
        <v>182</v>
      </c>
      <c r="E160" s="12" t="s">
        <v>664</v>
      </c>
      <c r="F160" s="12" t="s">
        <v>182</v>
      </c>
      <c r="G160" s="11" t="s">
        <v>59</v>
      </c>
      <c r="H160" s="11" t="s">
        <v>4</v>
      </c>
      <c r="I160" s="13"/>
      <c r="J160" s="11" t="s">
        <v>49</v>
      </c>
      <c r="K160" s="12" t="s">
        <v>636</v>
      </c>
      <c r="L160" s="12"/>
      <c r="M160" s="11" t="s">
        <v>50</v>
      </c>
      <c r="N160" s="12" t="s">
        <v>51</v>
      </c>
      <c r="O160" s="11" t="s">
        <v>27</v>
      </c>
      <c r="P160" s="11" t="s">
        <v>52</v>
      </c>
      <c r="Q160" s="12" t="s">
        <v>210</v>
      </c>
    </row>
    <row r="161" customFormat="false" ht="22.35" hidden="false" customHeight="false" outlineLevel="0" collapsed="false">
      <c r="A161" s="11" t="s">
        <v>665</v>
      </c>
      <c r="B161" s="11" t="s">
        <v>14</v>
      </c>
      <c r="C161" s="11" t="s">
        <v>634</v>
      </c>
      <c r="D161" s="12" t="s">
        <v>102</v>
      </c>
      <c r="E161" s="12" t="s">
        <v>666</v>
      </c>
      <c r="F161" s="12" t="s">
        <v>102</v>
      </c>
      <c r="G161" s="11" t="s">
        <v>48</v>
      </c>
      <c r="H161" s="11" t="s">
        <v>9</v>
      </c>
      <c r="I161" s="13"/>
      <c r="J161" s="11" t="s">
        <v>49</v>
      </c>
      <c r="K161" s="12" t="s">
        <v>636</v>
      </c>
      <c r="L161" s="12"/>
      <c r="M161" s="11" t="s">
        <v>50</v>
      </c>
      <c r="N161" s="12" t="s">
        <v>51</v>
      </c>
      <c r="O161" s="11" t="s">
        <v>28</v>
      </c>
      <c r="P161" s="11" t="s">
        <v>52</v>
      </c>
      <c r="Q161" s="12" t="s">
        <v>53</v>
      </c>
    </row>
    <row r="162" customFormat="false" ht="22.35" hidden="false" customHeight="false" outlineLevel="0" collapsed="false">
      <c r="A162" s="11" t="s">
        <v>667</v>
      </c>
      <c r="B162" s="11" t="s">
        <v>14</v>
      </c>
      <c r="C162" s="11" t="s">
        <v>634</v>
      </c>
      <c r="D162" s="12" t="s">
        <v>116</v>
      </c>
      <c r="E162" s="12" t="s">
        <v>668</v>
      </c>
      <c r="F162" s="12" t="s">
        <v>116</v>
      </c>
      <c r="G162" s="11" t="s">
        <v>48</v>
      </c>
      <c r="H162" s="11" t="s">
        <v>9</v>
      </c>
      <c r="I162" s="13"/>
      <c r="J162" s="11" t="s">
        <v>49</v>
      </c>
      <c r="K162" s="12" t="s">
        <v>636</v>
      </c>
      <c r="L162" s="12"/>
      <c r="M162" s="11" t="s">
        <v>50</v>
      </c>
      <c r="N162" s="12" t="s">
        <v>51</v>
      </c>
      <c r="O162" s="11" t="s">
        <v>28</v>
      </c>
      <c r="P162" s="11" t="s">
        <v>52</v>
      </c>
      <c r="Q162" s="12" t="s">
        <v>53</v>
      </c>
    </row>
    <row r="163" customFormat="false" ht="22.35" hidden="false" customHeight="false" outlineLevel="0" collapsed="false">
      <c r="A163" s="11" t="s">
        <v>669</v>
      </c>
      <c r="B163" s="11" t="s">
        <v>14</v>
      </c>
      <c r="C163" s="11" t="s">
        <v>634</v>
      </c>
      <c r="D163" s="12" t="s">
        <v>74</v>
      </c>
      <c r="E163" s="12" t="s">
        <v>670</v>
      </c>
      <c r="F163" s="12" t="s">
        <v>671</v>
      </c>
      <c r="G163" s="11" t="s">
        <v>59</v>
      </c>
      <c r="H163" s="11" t="s">
        <v>9</v>
      </c>
      <c r="I163" s="13"/>
      <c r="J163" s="11" t="s">
        <v>49</v>
      </c>
      <c r="K163" s="12" t="s">
        <v>672</v>
      </c>
      <c r="L163" s="12" t="s">
        <v>394</v>
      </c>
      <c r="M163" s="11" t="s">
        <v>50</v>
      </c>
      <c r="N163" s="12" t="s">
        <v>51</v>
      </c>
      <c r="O163" s="11" t="s">
        <v>28</v>
      </c>
      <c r="P163" s="11" t="s">
        <v>52</v>
      </c>
      <c r="Q163" s="12" t="s">
        <v>60</v>
      </c>
    </row>
    <row r="164" customFormat="false" ht="32.8" hidden="false" customHeight="false" outlineLevel="0" collapsed="false">
      <c r="A164" s="11" t="s">
        <v>673</v>
      </c>
      <c r="B164" s="11" t="s">
        <v>14</v>
      </c>
      <c r="C164" s="11" t="s">
        <v>674</v>
      </c>
      <c r="D164" s="12" t="s">
        <v>447</v>
      </c>
      <c r="E164" s="12" t="s">
        <v>675</v>
      </c>
      <c r="F164" s="12" t="s">
        <v>447</v>
      </c>
      <c r="G164" s="11" t="s">
        <v>72</v>
      </c>
      <c r="H164" s="11" t="s">
        <v>4</v>
      </c>
      <c r="I164" s="13"/>
      <c r="J164" s="11" t="s">
        <v>49</v>
      </c>
      <c r="K164" s="12" t="s">
        <v>676</v>
      </c>
      <c r="L164" s="12"/>
      <c r="M164" s="11" t="s">
        <v>50</v>
      </c>
      <c r="N164" s="12" t="s">
        <v>51</v>
      </c>
      <c r="O164" s="11" t="s">
        <v>27</v>
      </c>
      <c r="P164" s="11" t="s">
        <v>52</v>
      </c>
      <c r="Q164" s="12" t="s">
        <v>210</v>
      </c>
    </row>
    <row r="165" customFormat="false" ht="22.35" hidden="false" customHeight="false" outlineLevel="0" collapsed="false">
      <c r="A165" s="11" t="s">
        <v>677</v>
      </c>
      <c r="B165" s="11" t="s">
        <v>14</v>
      </c>
      <c r="C165" s="11" t="s">
        <v>674</v>
      </c>
      <c r="D165" s="12" t="s">
        <v>62</v>
      </c>
      <c r="E165" s="12" t="s">
        <v>678</v>
      </c>
      <c r="F165" s="12" t="s">
        <v>62</v>
      </c>
      <c r="G165" s="11" t="s">
        <v>48</v>
      </c>
      <c r="H165" s="11" t="s">
        <v>9</v>
      </c>
      <c r="I165" s="13"/>
      <c r="J165" s="11" t="s">
        <v>49</v>
      </c>
      <c r="K165" s="12" t="s">
        <v>676</v>
      </c>
      <c r="L165" s="12"/>
      <c r="M165" s="11" t="s">
        <v>50</v>
      </c>
      <c r="N165" s="12" t="s">
        <v>51</v>
      </c>
      <c r="O165" s="11" t="s">
        <v>28</v>
      </c>
      <c r="P165" s="11" t="s">
        <v>52</v>
      </c>
      <c r="Q165" s="12" t="s">
        <v>53</v>
      </c>
    </row>
    <row r="166" customFormat="false" ht="32.8" hidden="false" customHeight="false" outlineLevel="0" collapsed="false">
      <c r="A166" s="11" t="s">
        <v>679</v>
      </c>
      <c r="B166" s="11" t="s">
        <v>14</v>
      </c>
      <c r="C166" s="11" t="s">
        <v>674</v>
      </c>
      <c r="D166" s="12" t="s">
        <v>93</v>
      </c>
      <c r="E166" s="12" t="s">
        <v>680</v>
      </c>
      <c r="F166" s="12" t="s">
        <v>93</v>
      </c>
      <c r="G166" s="11" t="s">
        <v>48</v>
      </c>
      <c r="H166" s="11" t="s">
        <v>9</v>
      </c>
      <c r="I166" s="13"/>
      <c r="J166" s="11" t="s">
        <v>49</v>
      </c>
      <c r="K166" s="12" t="s">
        <v>676</v>
      </c>
      <c r="L166" s="12"/>
      <c r="M166" s="11" t="s">
        <v>50</v>
      </c>
      <c r="N166" s="12" t="s">
        <v>51</v>
      </c>
      <c r="O166" s="11" t="s">
        <v>28</v>
      </c>
      <c r="P166" s="11" t="s">
        <v>52</v>
      </c>
      <c r="Q166" s="12" t="s">
        <v>53</v>
      </c>
    </row>
    <row r="167" customFormat="false" ht="43.25" hidden="false" customHeight="false" outlineLevel="0" collapsed="false">
      <c r="A167" s="11" t="s">
        <v>681</v>
      </c>
      <c r="B167" s="11" t="s">
        <v>14</v>
      </c>
      <c r="C167" s="11" t="s">
        <v>674</v>
      </c>
      <c r="D167" s="12" t="s">
        <v>682</v>
      </c>
      <c r="E167" s="12" t="s">
        <v>683</v>
      </c>
      <c r="F167" s="12" t="s">
        <v>682</v>
      </c>
      <c r="G167" s="11" t="s">
        <v>72</v>
      </c>
      <c r="H167" s="11" t="s">
        <v>4</v>
      </c>
      <c r="I167" s="13"/>
      <c r="J167" s="11" t="s">
        <v>49</v>
      </c>
      <c r="K167" s="12" t="s">
        <v>676</v>
      </c>
      <c r="L167" s="12"/>
      <c r="M167" s="11" t="s">
        <v>50</v>
      </c>
      <c r="N167" s="12" t="s">
        <v>51</v>
      </c>
      <c r="O167" s="11" t="s">
        <v>27</v>
      </c>
      <c r="P167" s="11" t="s">
        <v>52</v>
      </c>
      <c r="Q167" s="12" t="s">
        <v>210</v>
      </c>
    </row>
    <row r="168" customFormat="false" ht="43.25" hidden="false" customHeight="false" outlineLevel="0" collapsed="false">
      <c r="A168" s="11" t="s">
        <v>684</v>
      </c>
      <c r="B168" s="11" t="s">
        <v>14</v>
      </c>
      <c r="C168" s="11" t="s">
        <v>674</v>
      </c>
      <c r="D168" s="12" t="s">
        <v>685</v>
      </c>
      <c r="E168" s="12" t="s">
        <v>686</v>
      </c>
      <c r="F168" s="12" t="s">
        <v>685</v>
      </c>
      <c r="G168" s="11" t="s">
        <v>72</v>
      </c>
      <c r="H168" s="11" t="s">
        <v>4</v>
      </c>
      <c r="I168" s="13"/>
      <c r="J168" s="11" t="s">
        <v>49</v>
      </c>
      <c r="K168" s="12" t="s">
        <v>676</v>
      </c>
      <c r="L168" s="12"/>
      <c r="M168" s="11" t="s">
        <v>50</v>
      </c>
      <c r="N168" s="12" t="s">
        <v>51</v>
      </c>
      <c r="O168" s="11" t="s">
        <v>27</v>
      </c>
      <c r="P168" s="11" t="s">
        <v>52</v>
      </c>
      <c r="Q168" s="12" t="s">
        <v>210</v>
      </c>
    </row>
    <row r="169" customFormat="false" ht="43.25" hidden="false" customHeight="false" outlineLevel="0" collapsed="false">
      <c r="A169" s="11" t="s">
        <v>687</v>
      </c>
      <c r="B169" s="11" t="s">
        <v>14</v>
      </c>
      <c r="C169" s="11" t="s">
        <v>674</v>
      </c>
      <c r="D169" s="12" t="s">
        <v>688</v>
      </c>
      <c r="E169" s="12" t="s">
        <v>689</v>
      </c>
      <c r="F169" s="12" t="s">
        <v>688</v>
      </c>
      <c r="G169" s="11" t="s">
        <v>72</v>
      </c>
      <c r="H169" s="11" t="s">
        <v>4</v>
      </c>
      <c r="I169" s="13" t="n">
        <v>1</v>
      </c>
      <c r="J169" s="11" t="s">
        <v>49</v>
      </c>
      <c r="K169" s="12" t="s">
        <v>690</v>
      </c>
      <c r="L169" s="12"/>
      <c r="M169" s="11" t="s">
        <v>50</v>
      </c>
      <c r="N169" s="12" t="s">
        <v>51</v>
      </c>
      <c r="O169" s="11" t="s">
        <v>27</v>
      </c>
      <c r="P169" s="11" t="s">
        <v>52</v>
      </c>
      <c r="Q169" s="12"/>
    </row>
    <row r="170" customFormat="false" ht="53.7" hidden="false" customHeight="false" outlineLevel="0" collapsed="false">
      <c r="A170" s="11" t="s">
        <v>691</v>
      </c>
      <c r="B170" s="11" t="s">
        <v>14</v>
      </c>
      <c r="C170" s="11" t="s">
        <v>674</v>
      </c>
      <c r="D170" s="12" t="s">
        <v>692</v>
      </c>
      <c r="E170" s="12" t="s">
        <v>693</v>
      </c>
      <c r="F170" s="12" t="s">
        <v>694</v>
      </c>
      <c r="G170" s="11" t="s">
        <v>72</v>
      </c>
      <c r="H170" s="11" t="s">
        <v>4</v>
      </c>
      <c r="I170" s="13" t="n">
        <v>0.5</v>
      </c>
      <c r="J170" s="11" t="s">
        <v>49</v>
      </c>
      <c r="K170" s="12" t="s">
        <v>695</v>
      </c>
      <c r="L170" s="12" t="s">
        <v>696</v>
      </c>
      <c r="M170" s="11" t="s">
        <v>50</v>
      </c>
      <c r="N170" s="12" t="s">
        <v>51</v>
      </c>
      <c r="O170" s="11" t="s">
        <v>27</v>
      </c>
      <c r="P170" s="11" t="s">
        <v>52</v>
      </c>
      <c r="Q170" s="12"/>
    </row>
    <row r="171" customFormat="false" ht="53.7" hidden="false" customHeight="false" outlineLevel="0" collapsed="false">
      <c r="A171" s="11" t="s">
        <v>697</v>
      </c>
      <c r="B171" s="11" t="s">
        <v>14</v>
      </c>
      <c r="C171" s="11" t="s">
        <v>674</v>
      </c>
      <c r="D171" s="12" t="s">
        <v>698</v>
      </c>
      <c r="E171" s="12" t="s">
        <v>699</v>
      </c>
      <c r="F171" s="12" t="s">
        <v>694</v>
      </c>
      <c r="G171" s="11" t="s">
        <v>72</v>
      </c>
      <c r="H171" s="11" t="s">
        <v>4</v>
      </c>
      <c r="I171" s="13" t="n">
        <v>0.425</v>
      </c>
      <c r="J171" s="11" t="s">
        <v>49</v>
      </c>
      <c r="K171" s="12" t="s">
        <v>700</v>
      </c>
      <c r="L171" s="12" t="s">
        <v>701</v>
      </c>
      <c r="M171" s="11" t="s">
        <v>50</v>
      </c>
      <c r="N171" s="12" t="s">
        <v>51</v>
      </c>
      <c r="O171" s="11" t="s">
        <v>27</v>
      </c>
      <c r="P171" s="11" t="s">
        <v>52</v>
      </c>
      <c r="Q171" s="12"/>
    </row>
    <row r="172" customFormat="false" ht="43.25" hidden="false" customHeight="false" outlineLevel="0" collapsed="false">
      <c r="A172" s="11" t="s">
        <v>702</v>
      </c>
      <c r="B172" s="11" t="s">
        <v>14</v>
      </c>
      <c r="C172" s="11" t="s">
        <v>674</v>
      </c>
      <c r="D172" s="12" t="s">
        <v>703</v>
      </c>
      <c r="E172" s="12" t="s">
        <v>704</v>
      </c>
      <c r="F172" s="12" t="s">
        <v>703</v>
      </c>
      <c r="G172" s="11" t="s">
        <v>72</v>
      </c>
      <c r="H172" s="11" t="s">
        <v>4</v>
      </c>
      <c r="I172" s="13"/>
      <c r="J172" s="11" t="s">
        <v>49</v>
      </c>
      <c r="K172" s="12" t="s">
        <v>676</v>
      </c>
      <c r="L172" s="12"/>
      <c r="M172" s="11" t="s">
        <v>50</v>
      </c>
      <c r="N172" s="12" t="s">
        <v>51</v>
      </c>
      <c r="O172" s="11" t="s">
        <v>27</v>
      </c>
      <c r="P172" s="11" t="s">
        <v>52</v>
      </c>
      <c r="Q172" s="12" t="s">
        <v>210</v>
      </c>
    </row>
    <row r="173" customFormat="false" ht="32.8" hidden="false" customHeight="false" outlineLevel="0" collapsed="false">
      <c r="A173" s="11" t="s">
        <v>705</v>
      </c>
      <c r="B173" s="11" t="s">
        <v>14</v>
      </c>
      <c r="C173" s="11" t="s">
        <v>674</v>
      </c>
      <c r="D173" s="12" t="s">
        <v>74</v>
      </c>
      <c r="E173" s="12" t="s">
        <v>706</v>
      </c>
      <c r="F173" s="12" t="s">
        <v>707</v>
      </c>
      <c r="G173" s="11" t="s">
        <v>72</v>
      </c>
      <c r="H173" s="11" t="s">
        <v>4</v>
      </c>
      <c r="I173" s="13"/>
      <c r="J173" s="11" t="s">
        <v>49</v>
      </c>
      <c r="K173" s="12" t="s">
        <v>708</v>
      </c>
      <c r="L173" s="12" t="s">
        <v>709</v>
      </c>
      <c r="M173" s="11" t="s">
        <v>50</v>
      </c>
      <c r="N173" s="12" t="s">
        <v>51</v>
      </c>
      <c r="O173" s="11" t="s">
        <v>27</v>
      </c>
      <c r="P173" s="11" t="s">
        <v>52</v>
      </c>
      <c r="Q173" s="12" t="s">
        <v>210</v>
      </c>
    </row>
    <row r="174" customFormat="false" ht="22.35" hidden="false" customHeight="false" outlineLevel="0" collapsed="false">
      <c r="A174" s="11" t="s">
        <v>710</v>
      </c>
      <c r="B174" s="11" t="s">
        <v>14</v>
      </c>
      <c r="C174" s="11" t="s">
        <v>674</v>
      </c>
      <c r="D174" s="12" t="s">
        <v>182</v>
      </c>
      <c r="E174" s="12" t="s">
        <v>711</v>
      </c>
      <c r="F174" s="12" t="s">
        <v>182</v>
      </c>
      <c r="G174" s="11" t="s">
        <v>72</v>
      </c>
      <c r="H174" s="11" t="s">
        <v>4</v>
      </c>
      <c r="I174" s="13"/>
      <c r="J174" s="11" t="s">
        <v>49</v>
      </c>
      <c r="K174" s="12" t="s">
        <v>676</v>
      </c>
      <c r="L174" s="12"/>
      <c r="M174" s="11" t="s">
        <v>50</v>
      </c>
      <c r="N174" s="12" t="s">
        <v>51</v>
      </c>
      <c r="O174" s="11" t="s">
        <v>27</v>
      </c>
      <c r="P174" s="11" t="s">
        <v>52</v>
      </c>
      <c r="Q174" s="12" t="s">
        <v>210</v>
      </c>
    </row>
    <row r="175" customFormat="false" ht="32.8" hidden="false" customHeight="false" outlineLevel="0" collapsed="false">
      <c r="A175" s="11" t="s">
        <v>712</v>
      </c>
      <c r="B175" s="11" t="s">
        <v>14</v>
      </c>
      <c r="C175" s="11" t="s">
        <v>674</v>
      </c>
      <c r="D175" s="12" t="s">
        <v>102</v>
      </c>
      <c r="E175" s="12" t="s">
        <v>713</v>
      </c>
      <c r="F175" s="12" t="s">
        <v>102</v>
      </c>
      <c r="G175" s="11" t="s">
        <v>48</v>
      </c>
      <c r="H175" s="11" t="s">
        <v>9</v>
      </c>
      <c r="I175" s="13"/>
      <c r="J175" s="11" t="s">
        <v>49</v>
      </c>
      <c r="K175" s="12" t="s">
        <v>676</v>
      </c>
      <c r="L175" s="12"/>
      <c r="M175" s="11" t="s">
        <v>50</v>
      </c>
      <c r="N175" s="12" t="s">
        <v>51</v>
      </c>
      <c r="O175" s="11" t="s">
        <v>28</v>
      </c>
      <c r="P175" s="11" t="s">
        <v>52</v>
      </c>
      <c r="Q175" s="12" t="s">
        <v>53</v>
      </c>
    </row>
    <row r="176" customFormat="false" ht="32.8" hidden="false" customHeight="false" outlineLevel="0" collapsed="false">
      <c r="A176" s="11" t="s">
        <v>714</v>
      </c>
      <c r="B176" s="11" t="s">
        <v>14</v>
      </c>
      <c r="C176" s="11" t="s">
        <v>674</v>
      </c>
      <c r="D176" s="12" t="s">
        <v>432</v>
      </c>
      <c r="E176" s="12" t="s">
        <v>715</v>
      </c>
      <c r="F176" s="12" t="s">
        <v>432</v>
      </c>
      <c r="G176" s="11" t="s">
        <v>72</v>
      </c>
      <c r="H176" s="11" t="s">
        <v>4</v>
      </c>
      <c r="I176" s="13"/>
      <c r="J176" s="11" t="s">
        <v>49</v>
      </c>
      <c r="K176" s="12" t="s">
        <v>676</v>
      </c>
      <c r="L176" s="12"/>
      <c r="M176" s="11" t="s">
        <v>50</v>
      </c>
      <c r="N176" s="12" t="s">
        <v>51</v>
      </c>
      <c r="O176" s="11" t="s">
        <v>27</v>
      </c>
      <c r="P176" s="11" t="s">
        <v>52</v>
      </c>
      <c r="Q176" s="12" t="s">
        <v>210</v>
      </c>
    </row>
    <row r="177" customFormat="false" ht="22.35" hidden="false" customHeight="false" outlineLevel="0" collapsed="false">
      <c r="A177" s="11" t="s">
        <v>716</v>
      </c>
      <c r="B177" s="11" t="s">
        <v>14</v>
      </c>
      <c r="C177" s="11" t="s">
        <v>674</v>
      </c>
      <c r="D177" s="12" t="s">
        <v>116</v>
      </c>
      <c r="E177" s="12" t="s">
        <v>717</v>
      </c>
      <c r="F177" s="12" t="s">
        <v>116</v>
      </c>
      <c r="G177" s="11" t="s">
        <v>48</v>
      </c>
      <c r="H177" s="11" t="s">
        <v>9</v>
      </c>
      <c r="I177" s="13"/>
      <c r="J177" s="11" t="s">
        <v>49</v>
      </c>
      <c r="K177" s="12" t="s">
        <v>676</v>
      </c>
      <c r="L177" s="12"/>
      <c r="M177" s="11" t="s">
        <v>50</v>
      </c>
      <c r="N177" s="12" t="s">
        <v>51</v>
      </c>
      <c r="O177" s="11" t="s">
        <v>28</v>
      </c>
      <c r="P177" s="11" t="s">
        <v>52</v>
      </c>
      <c r="Q177" s="12" t="s">
        <v>53</v>
      </c>
    </row>
    <row r="178" customFormat="false" ht="22.35" hidden="false" customHeight="false" outlineLevel="0" collapsed="false">
      <c r="A178" s="11" t="s">
        <v>718</v>
      </c>
      <c r="B178" s="11" t="s">
        <v>14</v>
      </c>
      <c r="C178" s="11" t="s">
        <v>674</v>
      </c>
      <c r="D178" s="12" t="s">
        <v>719</v>
      </c>
      <c r="E178" s="12" t="s">
        <v>720</v>
      </c>
      <c r="F178" s="12" t="s">
        <v>719</v>
      </c>
      <c r="G178" s="11" t="s">
        <v>72</v>
      </c>
      <c r="H178" s="11" t="s">
        <v>4</v>
      </c>
      <c r="I178" s="13"/>
      <c r="J178" s="11" t="s">
        <v>49</v>
      </c>
      <c r="K178" s="12" t="s">
        <v>676</v>
      </c>
      <c r="L178" s="12"/>
      <c r="M178" s="11" t="s">
        <v>50</v>
      </c>
      <c r="N178" s="12" t="s">
        <v>51</v>
      </c>
      <c r="O178" s="11" t="s">
        <v>27</v>
      </c>
      <c r="P178" s="11" t="s">
        <v>52</v>
      </c>
      <c r="Q178" s="12" t="s">
        <v>210</v>
      </c>
    </row>
    <row r="179" customFormat="false" ht="32.8" hidden="false" customHeight="false" outlineLevel="0" collapsed="false">
      <c r="A179" s="11" t="s">
        <v>721</v>
      </c>
      <c r="B179" s="11" t="s">
        <v>14</v>
      </c>
      <c r="C179" s="11" t="s">
        <v>674</v>
      </c>
      <c r="D179" s="12" t="s">
        <v>722</v>
      </c>
      <c r="E179" s="12" t="s">
        <v>723</v>
      </c>
      <c r="F179" s="12" t="s">
        <v>724</v>
      </c>
      <c r="G179" s="11" t="s">
        <v>59</v>
      </c>
      <c r="H179" s="11" t="s">
        <v>4</v>
      </c>
      <c r="I179" s="13" t="n">
        <v>0.941176470588235</v>
      </c>
      <c r="J179" s="11" t="s">
        <v>49</v>
      </c>
      <c r="K179" s="12" t="s">
        <v>725</v>
      </c>
      <c r="L179" s="12" t="s">
        <v>726</v>
      </c>
      <c r="M179" s="11" t="s">
        <v>50</v>
      </c>
      <c r="N179" s="12" t="s">
        <v>51</v>
      </c>
      <c r="O179" s="11" t="s">
        <v>27</v>
      </c>
      <c r="P179" s="11" t="s">
        <v>52</v>
      </c>
      <c r="Q179" s="12"/>
    </row>
    <row r="180" customFormat="false" ht="43.25" hidden="false" customHeight="false" outlineLevel="0" collapsed="false">
      <c r="A180" s="11" t="s">
        <v>727</v>
      </c>
      <c r="B180" s="11" t="s">
        <v>14</v>
      </c>
      <c r="C180" s="11" t="s">
        <v>674</v>
      </c>
      <c r="D180" s="12" t="s">
        <v>728</v>
      </c>
      <c r="E180" s="12" t="s">
        <v>729</v>
      </c>
      <c r="F180" s="12" t="s">
        <v>730</v>
      </c>
      <c r="G180" s="11" t="s">
        <v>59</v>
      </c>
      <c r="H180" s="11" t="s">
        <v>4</v>
      </c>
      <c r="I180" s="13" t="n">
        <v>0.875</v>
      </c>
      <c r="J180" s="11" t="s">
        <v>49</v>
      </c>
      <c r="K180" s="12" t="s">
        <v>731</v>
      </c>
      <c r="L180" s="12" t="s">
        <v>732</v>
      </c>
      <c r="M180" s="11" t="s">
        <v>50</v>
      </c>
      <c r="N180" s="12" t="s">
        <v>51</v>
      </c>
      <c r="O180" s="11" t="s">
        <v>27</v>
      </c>
      <c r="P180" s="11" t="s">
        <v>52</v>
      </c>
      <c r="Q180" s="12"/>
    </row>
    <row r="181" customFormat="false" ht="43.25" hidden="false" customHeight="false" outlineLevel="0" collapsed="false">
      <c r="A181" s="11" t="s">
        <v>733</v>
      </c>
      <c r="B181" s="11" t="s">
        <v>14</v>
      </c>
      <c r="C181" s="11" t="s">
        <v>674</v>
      </c>
      <c r="D181" s="12" t="s">
        <v>734</v>
      </c>
      <c r="E181" s="12" t="s">
        <v>735</v>
      </c>
      <c r="F181" s="12" t="s">
        <v>736</v>
      </c>
      <c r="G181" s="11" t="s">
        <v>59</v>
      </c>
      <c r="H181" s="11" t="s">
        <v>4</v>
      </c>
      <c r="I181" s="13" t="n">
        <v>0.8</v>
      </c>
      <c r="J181" s="11" t="s">
        <v>49</v>
      </c>
      <c r="K181" s="12" t="s">
        <v>737</v>
      </c>
      <c r="L181" s="12" t="s">
        <v>738</v>
      </c>
      <c r="M181" s="11" t="s">
        <v>50</v>
      </c>
      <c r="N181" s="12" t="s">
        <v>51</v>
      </c>
      <c r="O181" s="11" t="s">
        <v>27</v>
      </c>
      <c r="P181" s="11" t="s">
        <v>52</v>
      </c>
      <c r="Q181" s="12"/>
    </row>
    <row r="182" customFormat="false" ht="32.8" hidden="false" customHeight="false" outlineLevel="0" collapsed="false">
      <c r="A182" s="11" t="s">
        <v>739</v>
      </c>
      <c r="B182" s="11" t="s">
        <v>14</v>
      </c>
      <c r="C182" s="11" t="s">
        <v>674</v>
      </c>
      <c r="D182" s="12" t="s">
        <v>740</v>
      </c>
      <c r="E182" s="12" t="s">
        <v>741</v>
      </c>
      <c r="F182" s="12" t="s">
        <v>740</v>
      </c>
      <c r="G182" s="11" t="s">
        <v>72</v>
      </c>
      <c r="H182" s="11" t="s">
        <v>4</v>
      </c>
      <c r="I182" s="13"/>
      <c r="J182" s="11" t="s">
        <v>49</v>
      </c>
      <c r="K182" s="12" t="s">
        <v>676</v>
      </c>
      <c r="L182" s="12"/>
      <c r="M182" s="11" t="s">
        <v>50</v>
      </c>
      <c r="N182" s="12" t="s">
        <v>51</v>
      </c>
      <c r="O182" s="11" t="s">
        <v>27</v>
      </c>
      <c r="P182" s="11" t="s">
        <v>52</v>
      </c>
      <c r="Q182" s="12" t="s">
        <v>210</v>
      </c>
    </row>
    <row r="183" customFormat="false" ht="32.8" hidden="false" customHeight="false" outlineLevel="0" collapsed="false">
      <c r="A183" s="11" t="s">
        <v>742</v>
      </c>
      <c r="B183" s="11" t="s">
        <v>14</v>
      </c>
      <c r="C183" s="11" t="s">
        <v>674</v>
      </c>
      <c r="D183" s="12" t="s">
        <v>743</v>
      </c>
      <c r="E183" s="12" t="s">
        <v>744</v>
      </c>
      <c r="F183" s="12" t="s">
        <v>745</v>
      </c>
      <c r="G183" s="11" t="s">
        <v>72</v>
      </c>
      <c r="H183" s="11" t="s">
        <v>4</v>
      </c>
      <c r="I183" s="13" t="n">
        <v>0.9</v>
      </c>
      <c r="J183" s="11" t="s">
        <v>49</v>
      </c>
      <c r="K183" s="12" t="s">
        <v>746</v>
      </c>
      <c r="L183" s="12" t="s">
        <v>747</v>
      </c>
      <c r="M183" s="11" t="s">
        <v>50</v>
      </c>
      <c r="N183" s="12" t="s">
        <v>51</v>
      </c>
      <c r="O183" s="11" t="s">
        <v>27</v>
      </c>
      <c r="P183" s="11" t="s">
        <v>52</v>
      </c>
      <c r="Q183" s="12"/>
    </row>
    <row r="184" customFormat="false" ht="22.35" hidden="false" customHeight="false" outlineLevel="0" collapsed="false">
      <c r="A184" s="11" t="s">
        <v>748</v>
      </c>
      <c r="B184" s="11" t="s">
        <v>14</v>
      </c>
      <c r="C184" s="11" t="s">
        <v>674</v>
      </c>
      <c r="D184" s="12" t="s">
        <v>74</v>
      </c>
      <c r="E184" s="12" t="s">
        <v>749</v>
      </c>
      <c r="F184" s="12" t="s">
        <v>750</v>
      </c>
      <c r="G184" s="11" t="s">
        <v>72</v>
      </c>
      <c r="H184" s="11" t="s">
        <v>4</v>
      </c>
      <c r="I184" s="13" t="n">
        <v>0.916666666666667</v>
      </c>
      <c r="J184" s="11" t="s">
        <v>49</v>
      </c>
      <c r="K184" s="12" t="s">
        <v>751</v>
      </c>
      <c r="L184" s="12" t="s">
        <v>752</v>
      </c>
      <c r="M184" s="11" t="s">
        <v>50</v>
      </c>
      <c r="N184" s="12" t="s">
        <v>51</v>
      </c>
      <c r="O184" s="11" t="s">
        <v>27</v>
      </c>
      <c r="P184" s="11" t="s">
        <v>52</v>
      </c>
      <c r="Q184" s="12"/>
    </row>
    <row r="185" customFormat="false" ht="22.35" hidden="false" customHeight="false" outlineLevel="0" collapsed="false">
      <c r="A185" s="11" t="s">
        <v>753</v>
      </c>
      <c r="B185" s="11" t="s">
        <v>14</v>
      </c>
      <c r="C185" s="11" t="s">
        <v>674</v>
      </c>
      <c r="D185" s="12" t="s">
        <v>74</v>
      </c>
      <c r="E185" s="12" t="s">
        <v>754</v>
      </c>
      <c r="F185" s="12" t="s">
        <v>755</v>
      </c>
      <c r="G185" s="11" t="s">
        <v>72</v>
      </c>
      <c r="H185" s="11" t="s">
        <v>4</v>
      </c>
      <c r="I185" s="13" t="n">
        <v>0.833333333333333</v>
      </c>
      <c r="J185" s="11" t="s">
        <v>49</v>
      </c>
      <c r="K185" s="12" t="s">
        <v>756</v>
      </c>
      <c r="L185" s="12" t="s">
        <v>394</v>
      </c>
      <c r="M185" s="11" t="s">
        <v>50</v>
      </c>
      <c r="N185" s="12" t="s">
        <v>51</v>
      </c>
      <c r="O185" s="11" t="s">
        <v>27</v>
      </c>
      <c r="P185" s="11" t="s">
        <v>52</v>
      </c>
      <c r="Q185" s="12"/>
    </row>
    <row r="186" customFormat="false" ht="53.7" hidden="false" customHeight="false" outlineLevel="0" collapsed="false">
      <c r="A186" s="11" t="s">
        <v>757</v>
      </c>
      <c r="B186" s="11" t="s">
        <v>14</v>
      </c>
      <c r="C186" s="11" t="s">
        <v>758</v>
      </c>
      <c r="D186" s="12" t="s">
        <v>759</v>
      </c>
      <c r="E186" s="12" t="s">
        <v>760</v>
      </c>
      <c r="F186" s="12" t="s">
        <v>761</v>
      </c>
      <c r="G186" s="11" t="s">
        <v>59</v>
      </c>
      <c r="H186" s="11" t="s">
        <v>4</v>
      </c>
      <c r="I186" s="13" t="n">
        <v>0.625</v>
      </c>
      <c r="J186" s="11" t="s">
        <v>49</v>
      </c>
      <c r="K186" s="12" t="s">
        <v>762</v>
      </c>
      <c r="L186" s="12" t="s">
        <v>763</v>
      </c>
      <c r="M186" s="11" t="s">
        <v>50</v>
      </c>
      <c r="N186" s="12" t="s">
        <v>51</v>
      </c>
      <c r="O186" s="11" t="s">
        <v>27</v>
      </c>
      <c r="P186" s="11" t="s">
        <v>52</v>
      </c>
      <c r="Q186" s="12"/>
    </row>
    <row r="187" customFormat="false" ht="53.7" hidden="false" customHeight="false" outlineLevel="0" collapsed="false">
      <c r="A187" s="11" t="s">
        <v>764</v>
      </c>
      <c r="B187" s="11" t="s">
        <v>14</v>
      </c>
      <c r="C187" s="11" t="s">
        <v>758</v>
      </c>
      <c r="D187" s="12" t="s">
        <v>765</v>
      </c>
      <c r="E187" s="12" t="s">
        <v>766</v>
      </c>
      <c r="F187" s="12" t="s">
        <v>767</v>
      </c>
      <c r="G187" s="11" t="s">
        <v>59</v>
      </c>
      <c r="H187" s="11" t="s">
        <v>4</v>
      </c>
      <c r="I187" s="13" t="n">
        <v>0.55</v>
      </c>
      <c r="J187" s="11" t="s">
        <v>49</v>
      </c>
      <c r="K187" s="12" t="s">
        <v>768</v>
      </c>
      <c r="L187" s="12" t="s">
        <v>769</v>
      </c>
      <c r="M187" s="11" t="s">
        <v>50</v>
      </c>
      <c r="N187" s="12" t="s">
        <v>51</v>
      </c>
      <c r="O187" s="11" t="s">
        <v>27</v>
      </c>
      <c r="P187" s="11" t="s">
        <v>52</v>
      </c>
      <c r="Q187" s="12"/>
    </row>
    <row r="188" customFormat="false" ht="43.25" hidden="false" customHeight="false" outlineLevel="0" collapsed="false">
      <c r="A188" s="11" t="s">
        <v>770</v>
      </c>
      <c r="B188" s="11" t="s">
        <v>14</v>
      </c>
      <c r="C188" s="11" t="s">
        <v>758</v>
      </c>
      <c r="D188" s="12" t="s">
        <v>771</v>
      </c>
      <c r="E188" s="12" t="s">
        <v>772</v>
      </c>
      <c r="F188" s="12" t="s">
        <v>771</v>
      </c>
      <c r="G188" s="11" t="s">
        <v>59</v>
      </c>
      <c r="H188" s="11" t="s">
        <v>4</v>
      </c>
      <c r="I188" s="13"/>
      <c r="J188" s="11" t="s">
        <v>49</v>
      </c>
      <c r="K188" s="12" t="s">
        <v>773</v>
      </c>
      <c r="L188" s="12"/>
      <c r="M188" s="11" t="s">
        <v>50</v>
      </c>
      <c r="N188" s="12" t="s">
        <v>51</v>
      </c>
      <c r="O188" s="11" t="s">
        <v>27</v>
      </c>
      <c r="P188" s="11" t="s">
        <v>52</v>
      </c>
      <c r="Q188" s="12" t="s">
        <v>210</v>
      </c>
    </row>
    <row r="189" customFormat="false" ht="43.25" hidden="false" customHeight="false" outlineLevel="0" collapsed="false">
      <c r="A189" s="11" t="s">
        <v>774</v>
      </c>
      <c r="B189" s="11" t="s">
        <v>14</v>
      </c>
      <c r="C189" s="11" t="s">
        <v>758</v>
      </c>
      <c r="D189" s="12" t="s">
        <v>775</v>
      </c>
      <c r="E189" s="12" t="s">
        <v>776</v>
      </c>
      <c r="F189" s="12" t="s">
        <v>777</v>
      </c>
      <c r="G189" s="11" t="s">
        <v>72</v>
      </c>
      <c r="H189" s="11" t="s">
        <v>4</v>
      </c>
      <c r="I189" s="13" t="n">
        <v>0.875</v>
      </c>
      <c r="J189" s="11" t="s">
        <v>49</v>
      </c>
      <c r="K189" s="12" t="s">
        <v>778</v>
      </c>
      <c r="L189" s="12" t="s">
        <v>779</v>
      </c>
      <c r="M189" s="11" t="s">
        <v>50</v>
      </c>
      <c r="N189" s="12" t="s">
        <v>51</v>
      </c>
      <c r="O189" s="11" t="s">
        <v>27</v>
      </c>
      <c r="P189" s="11" t="s">
        <v>52</v>
      </c>
      <c r="Q189" s="12"/>
    </row>
    <row r="190" customFormat="false" ht="22.35" hidden="false" customHeight="false" outlineLevel="0" collapsed="false">
      <c r="A190" s="11" t="s">
        <v>780</v>
      </c>
      <c r="B190" s="11" t="s">
        <v>14</v>
      </c>
      <c r="C190" s="11" t="s">
        <v>758</v>
      </c>
      <c r="D190" s="12" t="s">
        <v>781</v>
      </c>
      <c r="E190" s="12" t="s">
        <v>782</v>
      </c>
      <c r="F190" s="12" t="s">
        <v>781</v>
      </c>
      <c r="G190" s="11" t="s">
        <v>59</v>
      </c>
      <c r="H190" s="11" t="s">
        <v>4</v>
      </c>
      <c r="I190" s="13"/>
      <c r="J190" s="11" t="s">
        <v>49</v>
      </c>
      <c r="K190" s="12" t="s">
        <v>783</v>
      </c>
      <c r="L190" s="12"/>
      <c r="M190" s="11" t="s">
        <v>50</v>
      </c>
      <c r="N190" s="12" t="s">
        <v>51</v>
      </c>
      <c r="O190" s="11" t="s">
        <v>27</v>
      </c>
      <c r="P190" s="11" t="s">
        <v>52</v>
      </c>
      <c r="Q190" s="12" t="s">
        <v>210</v>
      </c>
    </row>
    <row r="191" customFormat="false" ht="22.35" hidden="false" customHeight="false" outlineLevel="0" collapsed="false">
      <c r="A191" s="11" t="s">
        <v>784</v>
      </c>
      <c r="B191" s="11" t="s">
        <v>14</v>
      </c>
      <c r="C191" s="11" t="s">
        <v>758</v>
      </c>
      <c r="D191" s="12" t="s">
        <v>785</v>
      </c>
      <c r="E191" s="12" t="s">
        <v>786</v>
      </c>
      <c r="F191" s="12" t="s">
        <v>785</v>
      </c>
      <c r="G191" s="11" t="s">
        <v>59</v>
      </c>
      <c r="H191" s="11" t="s">
        <v>4</v>
      </c>
      <c r="I191" s="13"/>
      <c r="J191" s="11" t="s">
        <v>49</v>
      </c>
      <c r="K191" s="12" t="s">
        <v>783</v>
      </c>
      <c r="L191" s="12"/>
      <c r="M191" s="11" t="s">
        <v>50</v>
      </c>
      <c r="N191" s="12" t="s">
        <v>51</v>
      </c>
      <c r="O191" s="11" t="s">
        <v>27</v>
      </c>
      <c r="P191" s="11" t="s">
        <v>52</v>
      </c>
      <c r="Q191" s="12" t="s">
        <v>210</v>
      </c>
    </row>
    <row r="192" customFormat="false" ht="22.35" hidden="false" customHeight="false" outlineLevel="0" collapsed="false">
      <c r="A192" s="11" t="s">
        <v>787</v>
      </c>
      <c r="B192" s="11" t="s">
        <v>14</v>
      </c>
      <c r="C192" s="11" t="s">
        <v>758</v>
      </c>
      <c r="D192" s="12" t="s">
        <v>788</v>
      </c>
      <c r="E192" s="12" t="s">
        <v>789</v>
      </c>
      <c r="F192" s="12" t="s">
        <v>788</v>
      </c>
      <c r="G192" s="11" t="s">
        <v>72</v>
      </c>
      <c r="H192" s="11" t="s">
        <v>4</v>
      </c>
      <c r="I192" s="13"/>
      <c r="J192" s="11" t="s">
        <v>49</v>
      </c>
      <c r="K192" s="12" t="s">
        <v>783</v>
      </c>
      <c r="L192" s="12"/>
      <c r="M192" s="11" t="s">
        <v>50</v>
      </c>
      <c r="N192" s="12" t="s">
        <v>51</v>
      </c>
      <c r="O192" s="11" t="s">
        <v>27</v>
      </c>
      <c r="P192" s="11" t="s">
        <v>52</v>
      </c>
      <c r="Q192" s="12" t="s">
        <v>210</v>
      </c>
    </row>
    <row r="193" customFormat="false" ht="32.8" hidden="false" customHeight="false" outlineLevel="0" collapsed="false">
      <c r="A193" s="11" t="s">
        <v>790</v>
      </c>
      <c r="B193" s="11" t="s">
        <v>14</v>
      </c>
      <c r="C193" s="11" t="s">
        <v>758</v>
      </c>
      <c r="D193" s="12" t="s">
        <v>791</v>
      </c>
      <c r="E193" s="12" t="s">
        <v>792</v>
      </c>
      <c r="F193" s="12" t="s">
        <v>793</v>
      </c>
      <c r="G193" s="11" t="s">
        <v>72</v>
      </c>
      <c r="H193" s="11" t="s">
        <v>4</v>
      </c>
      <c r="I193" s="13" t="n">
        <v>0.756756756756757</v>
      </c>
      <c r="J193" s="11" t="s">
        <v>49</v>
      </c>
      <c r="K193" s="12" t="s">
        <v>794</v>
      </c>
      <c r="L193" s="12" t="s">
        <v>795</v>
      </c>
      <c r="M193" s="11" t="s">
        <v>50</v>
      </c>
      <c r="N193" s="12" t="s">
        <v>51</v>
      </c>
      <c r="O193" s="11" t="s">
        <v>27</v>
      </c>
      <c r="P193" s="11" t="s">
        <v>52</v>
      </c>
      <c r="Q193" s="12"/>
    </row>
    <row r="194" customFormat="false" ht="53.7" hidden="false" customHeight="false" outlineLevel="0" collapsed="false">
      <c r="A194" s="11" t="s">
        <v>796</v>
      </c>
      <c r="B194" s="11" t="s">
        <v>14</v>
      </c>
      <c r="C194" s="11" t="s">
        <v>758</v>
      </c>
      <c r="D194" s="12" t="s">
        <v>797</v>
      </c>
      <c r="E194" s="12" t="s">
        <v>798</v>
      </c>
      <c r="F194" s="12" t="s">
        <v>777</v>
      </c>
      <c r="G194" s="11" t="s">
        <v>72</v>
      </c>
      <c r="H194" s="11" t="s">
        <v>4</v>
      </c>
      <c r="I194" s="13" t="n">
        <v>0.625</v>
      </c>
      <c r="J194" s="11" t="s">
        <v>49</v>
      </c>
      <c r="K194" s="12" t="s">
        <v>799</v>
      </c>
      <c r="L194" s="12" t="s">
        <v>800</v>
      </c>
      <c r="M194" s="11" t="s">
        <v>50</v>
      </c>
      <c r="N194" s="12" t="s">
        <v>51</v>
      </c>
      <c r="O194" s="11" t="s">
        <v>27</v>
      </c>
      <c r="P194" s="11" t="s">
        <v>52</v>
      </c>
      <c r="Q194" s="12"/>
    </row>
    <row r="195" customFormat="false" ht="32.8" hidden="false" customHeight="false" outlineLevel="0" collapsed="false">
      <c r="A195" s="11" t="s">
        <v>801</v>
      </c>
      <c r="B195" s="11" t="s">
        <v>14</v>
      </c>
      <c r="C195" s="11" t="s">
        <v>758</v>
      </c>
      <c r="D195" s="12" t="s">
        <v>74</v>
      </c>
      <c r="E195" s="12" t="s">
        <v>802</v>
      </c>
      <c r="F195" s="12" t="s">
        <v>803</v>
      </c>
      <c r="G195" s="11" t="s">
        <v>59</v>
      </c>
      <c r="H195" s="11" t="s">
        <v>4</v>
      </c>
      <c r="I195" s="13" t="n">
        <v>0.8</v>
      </c>
      <c r="J195" s="11" t="s">
        <v>49</v>
      </c>
      <c r="K195" s="12" t="s">
        <v>804</v>
      </c>
      <c r="L195" s="12" t="s">
        <v>805</v>
      </c>
      <c r="M195" s="11" t="s">
        <v>50</v>
      </c>
      <c r="N195" s="12" t="s">
        <v>51</v>
      </c>
      <c r="O195" s="11" t="s">
        <v>27</v>
      </c>
      <c r="P195" s="11" t="s">
        <v>52</v>
      </c>
      <c r="Q195" s="12"/>
    </row>
    <row r="196" customFormat="false" ht="22.35" hidden="false" customHeight="false" outlineLevel="0" collapsed="false">
      <c r="A196" s="11" t="s">
        <v>806</v>
      </c>
      <c r="B196" s="11" t="s">
        <v>14</v>
      </c>
      <c r="C196" s="11" t="s">
        <v>758</v>
      </c>
      <c r="D196" s="12" t="s">
        <v>74</v>
      </c>
      <c r="E196" s="12" t="s">
        <v>807</v>
      </c>
      <c r="F196" s="12" t="s">
        <v>808</v>
      </c>
      <c r="G196" s="11" t="s">
        <v>59</v>
      </c>
      <c r="H196" s="11" t="s">
        <v>9</v>
      </c>
      <c r="I196" s="13"/>
      <c r="J196" s="11" t="s">
        <v>49</v>
      </c>
      <c r="K196" s="12" t="s">
        <v>809</v>
      </c>
      <c r="L196" s="12" t="s">
        <v>394</v>
      </c>
      <c r="M196" s="11" t="s">
        <v>50</v>
      </c>
      <c r="N196" s="12" t="s">
        <v>51</v>
      </c>
      <c r="O196" s="11" t="s">
        <v>28</v>
      </c>
      <c r="P196" s="11" t="s">
        <v>52</v>
      </c>
      <c r="Q196" s="12" t="s">
        <v>60</v>
      </c>
    </row>
    <row r="197" customFormat="false" ht="22.35" hidden="false" customHeight="false" outlineLevel="0" collapsed="false">
      <c r="A197" s="11" t="s">
        <v>810</v>
      </c>
      <c r="B197" s="11" t="s">
        <v>14</v>
      </c>
      <c r="C197" s="11" t="s">
        <v>811</v>
      </c>
      <c r="D197" s="12" t="s">
        <v>812</v>
      </c>
      <c r="E197" s="12" t="s">
        <v>813</v>
      </c>
      <c r="F197" s="12" t="s">
        <v>812</v>
      </c>
      <c r="G197" s="11" t="s">
        <v>72</v>
      </c>
      <c r="H197" s="11" t="s">
        <v>4</v>
      </c>
      <c r="I197" s="13"/>
      <c r="J197" s="11" t="s">
        <v>49</v>
      </c>
      <c r="K197" s="12" t="s">
        <v>814</v>
      </c>
      <c r="L197" s="12"/>
      <c r="M197" s="11" t="s">
        <v>50</v>
      </c>
      <c r="N197" s="12" t="s">
        <v>51</v>
      </c>
      <c r="O197" s="11" t="s">
        <v>27</v>
      </c>
      <c r="P197" s="11" t="s">
        <v>52</v>
      </c>
      <c r="Q197" s="12" t="s">
        <v>210</v>
      </c>
    </row>
    <row r="198" customFormat="false" ht="22.35" hidden="false" customHeight="false" outlineLevel="0" collapsed="false">
      <c r="A198" s="11" t="s">
        <v>815</v>
      </c>
      <c r="B198" s="11" t="s">
        <v>14</v>
      </c>
      <c r="C198" s="11" t="s">
        <v>811</v>
      </c>
      <c r="D198" s="12" t="s">
        <v>816</v>
      </c>
      <c r="E198" s="12" t="s">
        <v>817</v>
      </c>
      <c r="F198" s="12" t="s">
        <v>816</v>
      </c>
      <c r="G198" s="11" t="s">
        <v>72</v>
      </c>
      <c r="H198" s="11" t="s">
        <v>4</v>
      </c>
      <c r="I198" s="13"/>
      <c r="J198" s="11" t="s">
        <v>49</v>
      </c>
      <c r="K198" s="12" t="s">
        <v>814</v>
      </c>
      <c r="L198" s="12"/>
      <c r="M198" s="11" t="s">
        <v>50</v>
      </c>
      <c r="N198" s="12" t="s">
        <v>51</v>
      </c>
      <c r="O198" s="11" t="s">
        <v>27</v>
      </c>
      <c r="P198" s="11" t="s">
        <v>52</v>
      </c>
      <c r="Q198" s="12" t="s">
        <v>210</v>
      </c>
    </row>
    <row r="199" customFormat="false" ht="43.25" hidden="false" customHeight="false" outlineLevel="0" collapsed="false">
      <c r="A199" s="11" t="s">
        <v>818</v>
      </c>
      <c r="B199" s="11" t="s">
        <v>14</v>
      </c>
      <c r="C199" s="11" t="s">
        <v>811</v>
      </c>
      <c r="D199" s="12" t="s">
        <v>819</v>
      </c>
      <c r="E199" s="12" t="s">
        <v>820</v>
      </c>
      <c r="F199" s="12" t="s">
        <v>821</v>
      </c>
      <c r="G199" s="11" t="s">
        <v>72</v>
      </c>
      <c r="H199" s="11" t="s">
        <v>4</v>
      </c>
      <c r="I199" s="13" t="n">
        <v>0.783783783783784</v>
      </c>
      <c r="J199" s="11" t="s">
        <v>49</v>
      </c>
      <c r="K199" s="12" t="s">
        <v>822</v>
      </c>
      <c r="L199" s="12" t="s">
        <v>823</v>
      </c>
      <c r="M199" s="11" t="s">
        <v>50</v>
      </c>
      <c r="N199" s="12" t="s">
        <v>51</v>
      </c>
      <c r="O199" s="11" t="s">
        <v>27</v>
      </c>
      <c r="P199" s="11" t="s">
        <v>52</v>
      </c>
      <c r="Q199" s="12"/>
    </row>
    <row r="200" customFormat="false" ht="22.35" hidden="false" customHeight="false" outlineLevel="0" collapsed="false">
      <c r="A200" s="11" t="s">
        <v>824</v>
      </c>
      <c r="B200" s="11" t="s">
        <v>14</v>
      </c>
      <c r="C200" s="11" t="s">
        <v>811</v>
      </c>
      <c r="D200" s="12" t="s">
        <v>825</v>
      </c>
      <c r="E200" s="12" t="s">
        <v>826</v>
      </c>
      <c r="F200" s="12" t="s">
        <v>825</v>
      </c>
      <c r="G200" s="11" t="s">
        <v>72</v>
      </c>
      <c r="H200" s="11" t="s">
        <v>4</v>
      </c>
      <c r="I200" s="13"/>
      <c r="J200" s="11" t="s">
        <v>49</v>
      </c>
      <c r="K200" s="12" t="s">
        <v>814</v>
      </c>
      <c r="L200" s="12"/>
      <c r="M200" s="11" t="s">
        <v>50</v>
      </c>
      <c r="N200" s="12" t="s">
        <v>51</v>
      </c>
      <c r="O200" s="11" t="s">
        <v>27</v>
      </c>
      <c r="P200" s="11" t="s">
        <v>52</v>
      </c>
      <c r="Q200" s="12" t="s">
        <v>210</v>
      </c>
    </row>
    <row r="201" customFormat="false" ht="53.7" hidden="false" customHeight="false" outlineLevel="0" collapsed="false">
      <c r="A201" s="11" t="s">
        <v>827</v>
      </c>
      <c r="B201" s="11" t="s">
        <v>14</v>
      </c>
      <c r="C201" s="11" t="s">
        <v>811</v>
      </c>
      <c r="D201" s="12" t="s">
        <v>828</v>
      </c>
      <c r="E201" s="12" t="s">
        <v>829</v>
      </c>
      <c r="F201" s="12" t="s">
        <v>830</v>
      </c>
      <c r="G201" s="11" t="s">
        <v>59</v>
      </c>
      <c r="H201" s="11" t="s">
        <v>4</v>
      </c>
      <c r="I201" s="13" t="n">
        <v>0.725</v>
      </c>
      <c r="J201" s="11" t="s">
        <v>49</v>
      </c>
      <c r="K201" s="12" t="s">
        <v>831</v>
      </c>
      <c r="L201" s="12" t="s">
        <v>832</v>
      </c>
      <c r="M201" s="11" t="s">
        <v>50</v>
      </c>
      <c r="N201" s="12" t="s">
        <v>51</v>
      </c>
      <c r="O201" s="11" t="s">
        <v>27</v>
      </c>
      <c r="P201" s="11" t="s">
        <v>52</v>
      </c>
      <c r="Q201" s="12"/>
    </row>
    <row r="202" customFormat="false" ht="22.35" hidden="false" customHeight="false" outlineLevel="0" collapsed="false">
      <c r="A202" s="11" t="s">
        <v>833</v>
      </c>
      <c r="B202" s="11" t="s">
        <v>14</v>
      </c>
      <c r="C202" s="11" t="s">
        <v>811</v>
      </c>
      <c r="D202" s="12" t="s">
        <v>834</v>
      </c>
      <c r="E202" s="12" t="s">
        <v>835</v>
      </c>
      <c r="F202" s="12" t="s">
        <v>834</v>
      </c>
      <c r="G202" s="11" t="s">
        <v>59</v>
      </c>
      <c r="H202" s="11" t="s">
        <v>4</v>
      </c>
      <c r="I202" s="13"/>
      <c r="J202" s="11" t="s">
        <v>49</v>
      </c>
      <c r="K202" s="12" t="s">
        <v>814</v>
      </c>
      <c r="L202" s="12"/>
      <c r="M202" s="11" t="s">
        <v>50</v>
      </c>
      <c r="N202" s="12" t="s">
        <v>51</v>
      </c>
      <c r="O202" s="11" t="s">
        <v>27</v>
      </c>
      <c r="P202" s="11" t="s">
        <v>52</v>
      </c>
      <c r="Q202" s="12" t="s">
        <v>210</v>
      </c>
    </row>
    <row r="203" customFormat="false" ht="22.35" hidden="false" customHeight="false" outlineLevel="0" collapsed="false">
      <c r="A203" s="11" t="s">
        <v>836</v>
      </c>
      <c r="B203" s="11" t="s">
        <v>14</v>
      </c>
      <c r="C203" s="11" t="s">
        <v>811</v>
      </c>
      <c r="D203" s="12" t="s">
        <v>74</v>
      </c>
      <c r="E203" s="12" t="s">
        <v>837</v>
      </c>
      <c r="F203" s="12" t="s">
        <v>838</v>
      </c>
      <c r="G203" s="11" t="s">
        <v>72</v>
      </c>
      <c r="H203" s="11" t="s">
        <v>4</v>
      </c>
      <c r="I203" s="13" t="n">
        <v>0.9</v>
      </c>
      <c r="J203" s="11" t="s">
        <v>49</v>
      </c>
      <c r="K203" s="12" t="s">
        <v>839</v>
      </c>
      <c r="L203" s="12" t="s">
        <v>840</v>
      </c>
      <c r="M203" s="11" t="s">
        <v>50</v>
      </c>
      <c r="N203" s="12" t="s">
        <v>51</v>
      </c>
      <c r="O203" s="11" t="s">
        <v>27</v>
      </c>
      <c r="P203" s="11" t="s">
        <v>52</v>
      </c>
      <c r="Q203" s="12"/>
    </row>
    <row r="204" customFormat="false" ht="15" hidden="false" customHeight="false" outlineLevel="0" collapsed="false">
      <c r="A204" s="11" t="s">
        <v>841</v>
      </c>
      <c r="B204" s="11" t="s">
        <v>14</v>
      </c>
      <c r="C204" s="11" t="s">
        <v>811</v>
      </c>
      <c r="D204" s="12" t="s">
        <v>74</v>
      </c>
      <c r="E204" s="12" t="s">
        <v>842</v>
      </c>
      <c r="F204" s="12" t="s">
        <v>843</v>
      </c>
      <c r="G204" s="11" t="s">
        <v>72</v>
      </c>
      <c r="H204" s="11" t="s">
        <v>9</v>
      </c>
      <c r="I204" s="13"/>
      <c r="J204" s="11" t="s">
        <v>49</v>
      </c>
      <c r="K204" s="12"/>
      <c r="L204" s="12" t="s">
        <v>394</v>
      </c>
      <c r="M204" s="11" t="s">
        <v>50</v>
      </c>
      <c r="N204" s="12" t="s">
        <v>51</v>
      </c>
      <c r="O204" s="11" t="s">
        <v>28</v>
      </c>
      <c r="P204" s="11" t="s">
        <v>52</v>
      </c>
      <c r="Q204" s="12" t="s">
        <v>60</v>
      </c>
    </row>
    <row r="205" customFormat="false" ht="22.35" hidden="false" customHeight="false" outlineLevel="0" collapsed="false">
      <c r="A205" s="11" t="s">
        <v>844</v>
      </c>
      <c r="B205" s="11" t="s">
        <v>14</v>
      </c>
      <c r="C205" s="11" t="s">
        <v>845</v>
      </c>
      <c r="D205" s="12" t="s">
        <v>812</v>
      </c>
      <c r="E205" s="12" t="s">
        <v>846</v>
      </c>
      <c r="F205" s="12" t="s">
        <v>812</v>
      </c>
      <c r="G205" s="11" t="s">
        <v>72</v>
      </c>
      <c r="H205" s="11" t="s">
        <v>4</v>
      </c>
      <c r="I205" s="13"/>
      <c r="J205" s="11" t="s">
        <v>49</v>
      </c>
      <c r="K205" s="12" t="s">
        <v>847</v>
      </c>
      <c r="L205" s="12"/>
      <c r="M205" s="11" t="s">
        <v>50</v>
      </c>
      <c r="N205" s="12" t="s">
        <v>51</v>
      </c>
      <c r="O205" s="11" t="s">
        <v>27</v>
      </c>
      <c r="P205" s="11" t="s">
        <v>52</v>
      </c>
      <c r="Q205" s="12" t="s">
        <v>210</v>
      </c>
    </row>
    <row r="206" customFormat="false" ht="15" hidden="false" customHeight="false" outlineLevel="0" collapsed="false">
      <c r="A206" s="11" t="s">
        <v>848</v>
      </c>
      <c r="B206" s="11" t="s">
        <v>14</v>
      </c>
      <c r="C206" s="11" t="s">
        <v>845</v>
      </c>
      <c r="D206" s="12" t="s">
        <v>816</v>
      </c>
      <c r="E206" s="12" t="s">
        <v>849</v>
      </c>
      <c r="F206" s="12" t="s">
        <v>816</v>
      </c>
      <c r="G206" s="11" t="s">
        <v>72</v>
      </c>
      <c r="H206" s="11" t="s">
        <v>4</v>
      </c>
      <c r="I206" s="13"/>
      <c r="J206" s="11" t="s">
        <v>49</v>
      </c>
      <c r="K206" s="12" t="s">
        <v>847</v>
      </c>
      <c r="L206" s="12"/>
      <c r="M206" s="11" t="s">
        <v>50</v>
      </c>
      <c r="N206" s="12" t="s">
        <v>51</v>
      </c>
      <c r="O206" s="11" t="s">
        <v>27</v>
      </c>
      <c r="P206" s="11" t="s">
        <v>52</v>
      </c>
      <c r="Q206" s="12" t="s">
        <v>210</v>
      </c>
    </row>
    <row r="207" customFormat="false" ht="15" hidden="false" customHeight="false" outlineLevel="0" collapsed="false">
      <c r="A207" s="11" t="s">
        <v>850</v>
      </c>
      <c r="B207" s="11" t="s">
        <v>14</v>
      </c>
      <c r="C207" s="11" t="s">
        <v>845</v>
      </c>
      <c r="D207" s="12" t="s">
        <v>851</v>
      </c>
      <c r="E207" s="12" t="s">
        <v>852</v>
      </c>
      <c r="F207" s="12" t="s">
        <v>851</v>
      </c>
      <c r="G207" s="11" t="s">
        <v>72</v>
      </c>
      <c r="H207" s="11" t="s">
        <v>9</v>
      </c>
      <c r="I207" s="13"/>
      <c r="J207" s="11" t="s">
        <v>49</v>
      </c>
      <c r="K207" s="12" t="s">
        <v>847</v>
      </c>
      <c r="L207" s="12"/>
      <c r="M207" s="11" t="s">
        <v>50</v>
      </c>
      <c r="N207" s="12" t="s">
        <v>51</v>
      </c>
      <c r="O207" s="11" t="s">
        <v>28</v>
      </c>
      <c r="P207" s="11" t="s">
        <v>52</v>
      </c>
      <c r="Q207" s="12" t="s">
        <v>853</v>
      </c>
    </row>
    <row r="208" customFormat="false" ht="53.7" hidden="false" customHeight="false" outlineLevel="0" collapsed="false">
      <c r="A208" s="11" t="s">
        <v>854</v>
      </c>
      <c r="B208" s="11" t="s">
        <v>14</v>
      </c>
      <c r="C208" s="11" t="s">
        <v>845</v>
      </c>
      <c r="D208" s="12" t="s">
        <v>828</v>
      </c>
      <c r="E208" s="12" t="s">
        <v>855</v>
      </c>
      <c r="F208" s="12" t="s">
        <v>830</v>
      </c>
      <c r="G208" s="11" t="s">
        <v>59</v>
      </c>
      <c r="H208" s="11" t="s">
        <v>4</v>
      </c>
      <c r="I208" s="13" t="n">
        <v>0.725</v>
      </c>
      <c r="J208" s="11" t="s">
        <v>49</v>
      </c>
      <c r="K208" s="12" t="s">
        <v>831</v>
      </c>
      <c r="L208" s="12" t="s">
        <v>832</v>
      </c>
      <c r="M208" s="11" t="s">
        <v>50</v>
      </c>
      <c r="N208" s="12" t="s">
        <v>51</v>
      </c>
      <c r="O208" s="11" t="s">
        <v>27</v>
      </c>
      <c r="P208" s="11" t="s">
        <v>52</v>
      </c>
      <c r="Q208" s="12"/>
    </row>
    <row r="209" customFormat="false" ht="22.35" hidden="false" customHeight="false" outlineLevel="0" collapsed="false">
      <c r="A209" s="11" t="s">
        <v>856</v>
      </c>
      <c r="B209" s="11" t="s">
        <v>14</v>
      </c>
      <c r="C209" s="11" t="s">
        <v>845</v>
      </c>
      <c r="D209" s="12" t="s">
        <v>74</v>
      </c>
      <c r="E209" s="12" t="s">
        <v>857</v>
      </c>
      <c r="F209" s="12" t="s">
        <v>858</v>
      </c>
      <c r="G209" s="11" t="s">
        <v>72</v>
      </c>
      <c r="H209" s="11" t="s">
        <v>4</v>
      </c>
      <c r="I209" s="13"/>
      <c r="J209" s="11" t="s">
        <v>49</v>
      </c>
      <c r="K209" s="12" t="s">
        <v>859</v>
      </c>
      <c r="L209" s="12" t="s">
        <v>394</v>
      </c>
      <c r="M209" s="11" t="s">
        <v>50</v>
      </c>
      <c r="N209" s="12" t="s">
        <v>51</v>
      </c>
      <c r="O209" s="11" t="s">
        <v>27</v>
      </c>
      <c r="P209" s="11" t="s">
        <v>52</v>
      </c>
      <c r="Q209" s="12" t="s">
        <v>210</v>
      </c>
    </row>
    <row r="210" customFormat="false" ht="22.35" hidden="false" customHeight="false" outlineLevel="0" collapsed="false">
      <c r="A210" s="11" t="s">
        <v>860</v>
      </c>
      <c r="B210" s="11" t="s">
        <v>14</v>
      </c>
      <c r="C210" s="11" t="s">
        <v>861</v>
      </c>
      <c r="D210" s="12" t="s">
        <v>74</v>
      </c>
      <c r="E210" s="12" t="s">
        <v>862</v>
      </c>
      <c r="F210" s="12" t="s">
        <v>863</v>
      </c>
      <c r="G210" s="11" t="s">
        <v>59</v>
      </c>
      <c r="H210" s="11" t="s">
        <v>4</v>
      </c>
      <c r="I210" s="13" t="n">
        <v>0.888888888888889</v>
      </c>
      <c r="J210" s="11" t="s">
        <v>49</v>
      </c>
      <c r="K210" s="12" t="s">
        <v>864</v>
      </c>
      <c r="L210" s="12" t="s">
        <v>394</v>
      </c>
      <c r="M210" s="11" t="s">
        <v>50</v>
      </c>
      <c r="N210" s="12" t="s">
        <v>51</v>
      </c>
      <c r="O210" s="11" t="s">
        <v>27</v>
      </c>
      <c r="P210" s="11" t="s">
        <v>52</v>
      </c>
      <c r="Q210" s="12"/>
    </row>
    <row r="211" customFormat="false" ht="22.35" hidden="false" customHeight="false" outlineLevel="0" collapsed="false">
      <c r="A211" s="11" t="s">
        <v>865</v>
      </c>
      <c r="B211" s="11" t="s">
        <v>14</v>
      </c>
      <c r="C211" s="11" t="s">
        <v>866</v>
      </c>
      <c r="D211" s="12" t="s">
        <v>74</v>
      </c>
      <c r="E211" s="12" t="s">
        <v>867</v>
      </c>
      <c r="F211" s="12" t="s">
        <v>868</v>
      </c>
      <c r="G211" s="11" t="s">
        <v>59</v>
      </c>
      <c r="H211" s="11" t="s">
        <v>4</v>
      </c>
      <c r="I211" s="13" t="n">
        <v>1</v>
      </c>
      <c r="J211" s="11" t="s">
        <v>49</v>
      </c>
      <c r="K211" s="12" t="s">
        <v>869</v>
      </c>
      <c r="L211" s="12"/>
      <c r="M211" s="11" t="s">
        <v>50</v>
      </c>
      <c r="N211" s="12" t="s">
        <v>51</v>
      </c>
      <c r="O211" s="11" t="s">
        <v>27</v>
      </c>
      <c r="P211" s="11" t="s">
        <v>52</v>
      </c>
      <c r="Q211" s="12"/>
    </row>
    <row r="212" customFormat="false" ht="22.35" hidden="false" customHeight="false" outlineLevel="0" collapsed="false">
      <c r="A212" s="11" t="s">
        <v>870</v>
      </c>
      <c r="B212" s="11" t="s">
        <v>14</v>
      </c>
      <c r="C212" s="11" t="s">
        <v>866</v>
      </c>
      <c r="D212" s="12" t="s">
        <v>871</v>
      </c>
      <c r="E212" s="12" t="s">
        <v>872</v>
      </c>
      <c r="F212" s="12" t="s">
        <v>871</v>
      </c>
      <c r="G212" s="11" t="s">
        <v>72</v>
      </c>
      <c r="H212" s="11" t="s">
        <v>4</v>
      </c>
      <c r="I212" s="13"/>
      <c r="J212" s="11" t="s">
        <v>49</v>
      </c>
      <c r="K212" s="12" t="s">
        <v>873</v>
      </c>
      <c r="L212" s="12"/>
      <c r="M212" s="11" t="s">
        <v>50</v>
      </c>
      <c r="N212" s="12" t="s">
        <v>51</v>
      </c>
      <c r="O212" s="11" t="s">
        <v>27</v>
      </c>
      <c r="P212" s="11" t="s">
        <v>52</v>
      </c>
      <c r="Q212" s="12" t="s">
        <v>210</v>
      </c>
    </row>
    <row r="213" customFormat="false" ht="22.35" hidden="false" customHeight="false" outlineLevel="0" collapsed="false">
      <c r="A213" s="11" t="s">
        <v>874</v>
      </c>
      <c r="B213" s="11" t="s">
        <v>14</v>
      </c>
      <c r="C213" s="11" t="s">
        <v>866</v>
      </c>
      <c r="D213" s="12" t="s">
        <v>875</v>
      </c>
      <c r="E213" s="12" t="s">
        <v>876</v>
      </c>
      <c r="F213" s="12" t="s">
        <v>875</v>
      </c>
      <c r="G213" s="11" t="s">
        <v>72</v>
      </c>
      <c r="H213" s="11" t="s">
        <v>4</v>
      </c>
      <c r="I213" s="13"/>
      <c r="J213" s="11" t="s">
        <v>49</v>
      </c>
      <c r="K213" s="12" t="s">
        <v>873</v>
      </c>
      <c r="L213" s="12"/>
      <c r="M213" s="11" t="s">
        <v>50</v>
      </c>
      <c r="N213" s="12" t="s">
        <v>51</v>
      </c>
      <c r="O213" s="11" t="s">
        <v>27</v>
      </c>
      <c r="P213" s="11" t="s">
        <v>52</v>
      </c>
      <c r="Q213" s="12" t="s">
        <v>210</v>
      </c>
    </row>
    <row r="214" customFormat="false" ht="32.8" hidden="false" customHeight="false" outlineLevel="0" collapsed="false">
      <c r="A214" s="11" t="s">
        <v>877</v>
      </c>
      <c r="B214" s="11" t="s">
        <v>14</v>
      </c>
      <c r="C214" s="11" t="s">
        <v>866</v>
      </c>
      <c r="D214" s="12" t="s">
        <v>878</v>
      </c>
      <c r="E214" s="12" t="s">
        <v>879</v>
      </c>
      <c r="F214" s="12" t="s">
        <v>880</v>
      </c>
      <c r="G214" s="11" t="s">
        <v>72</v>
      </c>
      <c r="H214" s="11" t="s">
        <v>4</v>
      </c>
      <c r="I214" s="13" t="n">
        <v>0.8</v>
      </c>
      <c r="J214" s="11" t="s">
        <v>49</v>
      </c>
      <c r="K214" s="12" t="s">
        <v>881</v>
      </c>
      <c r="L214" s="12" t="s">
        <v>882</v>
      </c>
      <c r="M214" s="11" t="s">
        <v>50</v>
      </c>
      <c r="N214" s="12" t="s">
        <v>51</v>
      </c>
      <c r="O214" s="11" t="s">
        <v>27</v>
      </c>
      <c r="P214" s="11" t="s">
        <v>52</v>
      </c>
      <c r="Q214" s="12"/>
    </row>
    <row r="215" customFormat="false" ht="22.35" hidden="false" customHeight="false" outlineLevel="0" collapsed="false">
      <c r="A215" s="11" t="s">
        <v>883</v>
      </c>
      <c r="B215" s="11" t="s">
        <v>14</v>
      </c>
      <c r="C215" s="11" t="s">
        <v>866</v>
      </c>
      <c r="D215" s="12" t="s">
        <v>69</v>
      </c>
      <c r="E215" s="12" t="s">
        <v>884</v>
      </c>
      <c r="F215" s="12" t="s">
        <v>71</v>
      </c>
      <c r="G215" s="11" t="s">
        <v>72</v>
      </c>
      <c r="H215" s="11" t="s">
        <v>9</v>
      </c>
      <c r="I215" s="13"/>
      <c r="J215" s="11" t="s">
        <v>49</v>
      </c>
      <c r="K215" s="12"/>
      <c r="L215" s="12"/>
      <c r="M215" s="11" t="s">
        <v>50</v>
      </c>
      <c r="N215" s="12" t="s">
        <v>51</v>
      </c>
      <c r="O215" s="11" t="s">
        <v>28</v>
      </c>
      <c r="P215" s="11" t="s">
        <v>52</v>
      </c>
      <c r="Q215" s="12" t="s">
        <v>60</v>
      </c>
    </row>
    <row r="216" customFormat="false" ht="22.35" hidden="false" customHeight="false" outlineLevel="0" collapsed="false">
      <c r="A216" s="11" t="s">
        <v>885</v>
      </c>
      <c r="B216" s="11" t="s">
        <v>14</v>
      </c>
      <c r="C216" s="11" t="s">
        <v>866</v>
      </c>
      <c r="D216" s="12" t="s">
        <v>886</v>
      </c>
      <c r="E216" s="12" t="s">
        <v>887</v>
      </c>
      <c r="F216" s="12" t="s">
        <v>886</v>
      </c>
      <c r="G216" s="11" t="s">
        <v>72</v>
      </c>
      <c r="H216" s="11" t="s">
        <v>4</v>
      </c>
      <c r="I216" s="13"/>
      <c r="J216" s="11" t="s">
        <v>49</v>
      </c>
      <c r="K216" s="12" t="s">
        <v>888</v>
      </c>
      <c r="L216" s="12"/>
      <c r="M216" s="11" t="s">
        <v>50</v>
      </c>
      <c r="N216" s="12" t="s">
        <v>51</v>
      </c>
      <c r="O216" s="11" t="s">
        <v>27</v>
      </c>
      <c r="P216" s="11" t="s">
        <v>52</v>
      </c>
      <c r="Q216" s="12" t="s">
        <v>210</v>
      </c>
    </row>
    <row r="217" customFormat="false" ht="22.35" hidden="false" customHeight="false" outlineLevel="0" collapsed="false">
      <c r="A217" s="11" t="s">
        <v>889</v>
      </c>
      <c r="B217" s="11" t="s">
        <v>14</v>
      </c>
      <c r="C217" s="11" t="s">
        <v>866</v>
      </c>
      <c r="D217" s="12" t="s">
        <v>303</v>
      </c>
      <c r="E217" s="12" t="s">
        <v>890</v>
      </c>
      <c r="F217" s="12" t="s">
        <v>303</v>
      </c>
      <c r="G217" s="11" t="s">
        <v>72</v>
      </c>
      <c r="H217" s="11" t="s">
        <v>4</v>
      </c>
      <c r="I217" s="13"/>
      <c r="J217" s="11" t="s">
        <v>49</v>
      </c>
      <c r="K217" s="12" t="s">
        <v>888</v>
      </c>
      <c r="L217" s="12"/>
      <c r="M217" s="11" t="s">
        <v>50</v>
      </c>
      <c r="N217" s="12" t="s">
        <v>51</v>
      </c>
      <c r="O217" s="11" t="s">
        <v>27</v>
      </c>
      <c r="P217" s="11" t="s">
        <v>52</v>
      </c>
      <c r="Q217" s="12" t="s">
        <v>210</v>
      </c>
    </row>
    <row r="218" customFormat="false" ht="22.35" hidden="false" customHeight="false" outlineLevel="0" collapsed="false">
      <c r="A218" s="11" t="s">
        <v>891</v>
      </c>
      <c r="B218" s="11" t="s">
        <v>14</v>
      </c>
      <c r="C218" s="11" t="s">
        <v>866</v>
      </c>
      <c r="D218" s="12" t="s">
        <v>62</v>
      </c>
      <c r="E218" s="12" t="s">
        <v>892</v>
      </c>
      <c r="F218" s="12" t="s">
        <v>62</v>
      </c>
      <c r="G218" s="11" t="s">
        <v>48</v>
      </c>
      <c r="H218" s="11" t="s">
        <v>9</v>
      </c>
      <c r="I218" s="13"/>
      <c r="J218" s="11" t="s">
        <v>49</v>
      </c>
      <c r="K218" s="12" t="s">
        <v>888</v>
      </c>
      <c r="L218" s="12"/>
      <c r="M218" s="11" t="s">
        <v>50</v>
      </c>
      <c r="N218" s="12" t="s">
        <v>51</v>
      </c>
      <c r="O218" s="11" t="s">
        <v>28</v>
      </c>
      <c r="P218" s="11" t="s">
        <v>52</v>
      </c>
      <c r="Q218" s="12" t="s">
        <v>53</v>
      </c>
    </row>
    <row r="219" customFormat="false" ht="22.35" hidden="false" customHeight="false" outlineLevel="0" collapsed="false">
      <c r="A219" s="11" t="s">
        <v>893</v>
      </c>
      <c r="B219" s="11" t="s">
        <v>14</v>
      </c>
      <c r="C219" s="11" t="s">
        <v>866</v>
      </c>
      <c r="D219" s="12" t="s">
        <v>93</v>
      </c>
      <c r="E219" s="12" t="s">
        <v>894</v>
      </c>
      <c r="F219" s="12" t="s">
        <v>93</v>
      </c>
      <c r="G219" s="11" t="s">
        <v>48</v>
      </c>
      <c r="H219" s="11" t="s">
        <v>9</v>
      </c>
      <c r="I219" s="13"/>
      <c r="J219" s="11" t="s">
        <v>49</v>
      </c>
      <c r="K219" s="12" t="s">
        <v>888</v>
      </c>
      <c r="L219" s="12"/>
      <c r="M219" s="11" t="s">
        <v>50</v>
      </c>
      <c r="N219" s="12" t="s">
        <v>51</v>
      </c>
      <c r="O219" s="11" t="s">
        <v>28</v>
      </c>
      <c r="P219" s="11" t="s">
        <v>52</v>
      </c>
      <c r="Q219" s="12" t="s">
        <v>53</v>
      </c>
    </row>
    <row r="220" customFormat="false" ht="22.35" hidden="false" customHeight="false" outlineLevel="0" collapsed="false">
      <c r="A220" s="11" t="s">
        <v>895</v>
      </c>
      <c r="B220" s="11" t="s">
        <v>14</v>
      </c>
      <c r="C220" s="11" t="s">
        <v>866</v>
      </c>
      <c r="D220" s="12" t="s">
        <v>74</v>
      </c>
      <c r="E220" s="12" t="s">
        <v>896</v>
      </c>
      <c r="F220" s="12" t="s">
        <v>74</v>
      </c>
      <c r="G220" s="11" t="s">
        <v>72</v>
      </c>
      <c r="H220" s="11" t="s">
        <v>4</v>
      </c>
      <c r="I220" s="13"/>
      <c r="J220" s="11" t="s">
        <v>49</v>
      </c>
      <c r="K220" s="12" t="s">
        <v>888</v>
      </c>
      <c r="L220" s="12"/>
      <c r="M220" s="11" t="s">
        <v>50</v>
      </c>
      <c r="N220" s="12" t="s">
        <v>51</v>
      </c>
      <c r="O220" s="11" t="s">
        <v>27</v>
      </c>
      <c r="P220" s="11" t="s">
        <v>52</v>
      </c>
      <c r="Q220" s="12" t="s">
        <v>210</v>
      </c>
    </row>
    <row r="221" customFormat="false" ht="22.35" hidden="false" customHeight="false" outlineLevel="0" collapsed="false">
      <c r="A221" s="11" t="s">
        <v>897</v>
      </c>
      <c r="B221" s="11" t="s">
        <v>14</v>
      </c>
      <c r="C221" s="11" t="s">
        <v>866</v>
      </c>
      <c r="D221" s="12" t="s">
        <v>102</v>
      </c>
      <c r="E221" s="12" t="s">
        <v>898</v>
      </c>
      <c r="F221" s="12" t="s">
        <v>102</v>
      </c>
      <c r="G221" s="11" t="s">
        <v>48</v>
      </c>
      <c r="H221" s="11" t="s">
        <v>9</v>
      </c>
      <c r="I221" s="13"/>
      <c r="J221" s="11" t="s">
        <v>49</v>
      </c>
      <c r="K221" s="12" t="s">
        <v>888</v>
      </c>
      <c r="L221" s="12"/>
      <c r="M221" s="11" t="s">
        <v>50</v>
      </c>
      <c r="N221" s="12" t="s">
        <v>51</v>
      </c>
      <c r="O221" s="11" t="s">
        <v>28</v>
      </c>
      <c r="P221" s="11" t="s">
        <v>52</v>
      </c>
      <c r="Q221" s="12" t="s">
        <v>53</v>
      </c>
    </row>
    <row r="222" customFormat="false" ht="22.35" hidden="false" customHeight="false" outlineLevel="0" collapsed="false">
      <c r="A222" s="11" t="s">
        <v>899</v>
      </c>
      <c r="B222" s="11" t="s">
        <v>14</v>
      </c>
      <c r="C222" s="11" t="s">
        <v>866</v>
      </c>
      <c r="D222" s="12" t="s">
        <v>105</v>
      </c>
      <c r="E222" s="12" t="s">
        <v>900</v>
      </c>
      <c r="F222" s="12" t="s">
        <v>105</v>
      </c>
      <c r="G222" s="11" t="s">
        <v>72</v>
      </c>
      <c r="H222" s="11" t="s">
        <v>4</v>
      </c>
      <c r="I222" s="13"/>
      <c r="J222" s="11" t="s">
        <v>49</v>
      </c>
      <c r="K222" s="12" t="s">
        <v>888</v>
      </c>
      <c r="L222" s="12"/>
      <c r="M222" s="11" t="s">
        <v>50</v>
      </c>
      <c r="N222" s="12" t="s">
        <v>51</v>
      </c>
      <c r="O222" s="11" t="s">
        <v>27</v>
      </c>
      <c r="P222" s="11" t="s">
        <v>52</v>
      </c>
      <c r="Q222" s="12" t="s">
        <v>210</v>
      </c>
    </row>
    <row r="223" customFormat="false" ht="22.35" hidden="false" customHeight="false" outlineLevel="0" collapsed="false">
      <c r="A223" s="11" t="s">
        <v>901</v>
      </c>
      <c r="B223" s="11" t="s">
        <v>14</v>
      </c>
      <c r="C223" s="11" t="s">
        <v>866</v>
      </c>
      <c r="D223" s="12" t="s">
        <v>113</v>
      </c>
      <c r="E223" s="12" t="s">
        <v>902</v>
      </c>
      <c r="F223" s="12" t="s">
        <v>113</v>
      </c>
      <c r="G223" s="11" t="s">
        <v>48</v>
      </c>
      <c r="H223" s="11" t="s">
        <v>9</v>
      </c>
      <c r="I223" s="13"/>
      <c r="J223" s="11" t="s">
        <v>49</v>
      </c>
      <c r="K223" s="12" t="s">
        <v>888</v>
      </c>
      <c r="L223" s="12"/>
      <c r="M223" s="11" t="s">
        <v>50</v>
      </c>
      <c r="N223" s="12" t="s">
        <v>51</v>
      </c>
      <c r="O223" s="11" t="s">
        <v>28</v>
      </c>
      <c r="P223" s="11" t="s">
        <v>52</v>
      </c>
      <c r="Q223" s="12" t="s">
        <v>53</v>
      </c>
    </row>
    <row r="224" customFormat="false" ht="22.35" hidden="false" customHeight="false" outlineLevel="0" collapsed="false">
      <c r="A224" s="11" t="s">
        <v>903</v>
      </c>
      <c r="B224" s="11" t="s">
        <v>14</v>
      </c>
      <c r="C224" s="11" t="s">
        <v>866</v>
      </c>
      <c r="D224" s="12" t="s">
        <v>116</v>
      </c>
      <c r="E224" s="12" t="s">
        <v>904</v>
      </c>
      <c r="F224" s="12" t="s">
        <v>116</v>
      </c>
      <c r="G224" s="11" t="s">
        <v>48</v>
      </c>
      <c r="H224" s="11" t="s">
        <v>9</v>
      </c>
      <c r="I224" s="13"/>
      <c r="J224" s="11" t="s">
        <v>49</v>
      </c>
      <c r="K224" s="12" t="s">
        <v>888</v>
      </c>
      <c r="L224" s="12"/>
      <c r="M224" s="11" t="s">
        <v>50</v>
      </c>
      <c r="N224" s="12" t="s">
        <v>51</v>
      </c>
      <c r="O224" s="11" t="s">
        <v>28</v>
      </c>
      <c r="P224" s="11" t="s">
        <v>52</v>
      </c>
      <c r="Q224" s="12" t="s">
        <v>53</v>
      </c>
    </row>
    <row r="225" customFormat="false" ht="22.35" hidden="false" customHeight="false" outlineLevel="0" collapsed="false">
      <c r="A225" s="11" t="s">
        <v>905</v>
      </c>
      <c r="B225" s="11" t="s">
        <v>14</v>
      </c>
      <c r="C225" s="11" t="s">
        <v>866</v>
      </c>
      <c r="D225" s="12" t="s">
        <v>363</v>
      </c>
      <c r="E225" s="12" t="s">
        <v>906</v>
      </c>
      <c r="F225" s="12" t="s">
        <v>365</v>
      </c>
      <c r="G225" s="11" t="s">
        <v>72</v>
      </c>
      <c r="H225" s="11" t="s">
        <v>4</v>
      </c>
      <c r="I225" s="13" t="n">
        <v>0.818181818181818</v>
      </c>
      <c r="J225" s="11" t="s">
        <v>49</v>
      </c>
      <c r="K225" s="12" t="s">
        <v>366</v>
      </c>
      <c r="L225" s="12" t="s">
        <v>367</v>
      </c>
      <c r="M225" s="11" t="s">
        <v>50</v>
      </c>
      <c r="N225" s="12" t="s">
        <v>51</v>
      </c>
      <c r="O225" s="11" t="s">
        <v>27</v>
      </c>
      <c r="P225" s="11" t="s">
        <v>52</v>
      </c>
      <c r="Q225" s="12"/>
    </row>
    <row r="226" customFormat="false" ht="22.35" hidden="false" customHeight="false" outlineLevel="0" collapsed="false">
      <c r="A226" s="11" t="s">
        <v>907</v>
      </c>
      <c r="B226" s="11" t="s">
        <v>14</v>
      </c>
      <c r="C226" s="11" t="s">
        <v>866</v>
      </c>
      <c r="D226" s="12" t="s">
        <v>74</v>
      </c>
      <c r="E226" s="12" t="s">
        <v>908</v>
      </c>
      <c r="F226" s="12" t="s">
        <v>909</v>
      </c>
      <c r="G226" s="11" t="s">
        <v>72</v>
      </c>
      <c r="H226" s="11" t="s">
        <v>9</v>
      </c>
      <c r="I226" s="13"/>
      <c r="J226" s="11" t="s">
        <v>49</v>
      </c>
      <c r="K226" s="12" t="s">
        <v>910</v>
      </c>
      <c r="L226" s="12"/>
      <c r="M226" s="11" t="s">
        <v>50</v>
      </c>
      <c r="N226" s="12" t="s">
        <v>51</v>
      </c>
      <c r="O226" s="11" t="s">
        <v>28</v>
      </c>
      <c r="P226" s="11" t="s">
        <v>52</v>
      </c>
      <c r="Q226" s="12" t="s">
        <v>60</v>
      </c>
    </row>
    <row r="227" customFormat="false" ht="22.35" hidden="false" customHeight="false" outlineLevel="0" collapsed="false">
      <c r="A227" s="11" t="s">
        <v>911</v>
      </c>
      <c r="B227" s="11" t="s">
        <v>14</v>
      </c>
      <c r="C227" s="11" t="s">
        <v>866</v>
      </c>
      <c r="D227" s="12" t="s">
        <v>74</v>
      </c>
      <c r="E227" s="12" t="s">
        <v>912</v>
      </c>
      <c r="F227" s="12" t="s">
        <v>913</v>
      </c>
      <c r="G227" s="11" t="s">
        <v>72</v>
      </c>
      <c r="H227" s="11" t="s">
        <v>9</v>
      </c>
      <c r="I227" s="13"/>
      <c r="J227" s="11" t="s">
        <v>49</v>
      </c>
      <c r="K227" s="12" t="s">
        <v>914</v>
      </c>
      <c r="L227" s="12" t="s">
        <v>394</v>
      </c>
      <c r="M227" s="11" t="s">
        <v>50</v>
      </c>
      <c r="N227" s="12" t="s">
        <v>51</v>
      </c>
      <c r="O227" s="11" t="s">
        <v>28</v>
      </c>
      <c r="P227" s="11" t="s">
        <v>52</v>
      </c>
      <c r="Q227" s="12" t="s">
        <v>60</v>
      </c>
    </row>
    <row r="228" customFormat="false" ht="22.35" hidden="false" customHeight="false" outlineLevel="0" collapsed="false">
      <c r="A228" s="11" t="s">
        <v>915</v>
      </c>
      <c r="B228" s="11" t="s">
        <v>14</v>
      </c>
      <c r="C228" s="11" t="s">
        <v>916</v>
      </c>
      <c r="D228" s="12" t="s">
        <v>917</v>
      </c>
      <c r="E228" s="12" t="s">
        <v>918</v>
      </c>
      <c r="F228" s="12" t="s">
        <v>917</v>
      </c>
      <c r="G228" s="11" t="s">
        <v>72</v>
      </c>
      <c r="H228" s="11" t="s">
        <v>4</v>
      </c>
      <c r="I228" s="13"/>
      <c r="J228" s="11" t="s">
        <v>49</v>
      </c>
      <c r="K228" s="12" t="s">
        <v>919</v>
      </c>
      <c r="L228" s="12"/>
      <c r="M228" s="11" t="s">
        <v>50</v>
      </c>
      <c r="N228" s="12" t="s">
        <v>51</v>
      </c>
      <c r="O228" s="11" t="s">
        <v>27</v>
      </c>
      <c r="P228" s="11" t="s">
        <v>52</v>
      </c>
      <c r="Q228" s="12" t="s">
        <v>210</v>
      </c>
    </row>
    <row r="229" customFormat="false" ht="22.35" hidden="false" customHeight="false" outlineLevel="0" collapsed="false">
      <c r="A229" s="11" t="s">
        <v>920</v>
      </c>
      <c r="B229" s="11" t="s">
        <v>14</v>
      </c>
      <c r="C229" s="11" t="s">
        <v>916</v>
      </c>
      <c r="D229" s="12" t="s">
        <v>921</v>
      </c>
      <c r="E229" s="12" t="s">
        <v>922</v>
      </c>
      <c r="F229" s="12" t="s">
        <v>921</v>
      </c>
      <c r="G229" s="11" t="s">
        <v>59</v>
      </c>
      <c r="H229" s="11" t="s">
        <v>4</v>
      </c>
      <c r="I229" s="13"/>
      <c r="J229" s="11" t="s">
        <v>49</v>
      </c>
      <c r="K229" s="12" t="s">
        <v>919</v>
      </c>
      <c r="L229" s="12"/>
      <c r="M229" s="11" t="s">
        <v>50</v>
      </c>
      <c r="N229" s="12" t="s">
        <v>51</v>
      </c>
      <c r="O229" s="11" t="s">
        <v>27</v>
      </c>
      <c r="P229" s="11" t="s">
        <v>52</v>
      </c>
      <c r="Q229" s="12" t="s">
        <v>210</v>
      </c>
    </row>
    <row r="230" customFormat="false" ht="22.35" hidden="false" customHeight="false" outlineLevel="0" collapsed="false">
      <c r="A230" s="11" t="s">
        <v>923</v>
      </c>
      <c r="B230" s="11" t="s">
        <v>14</v>
      </c>
      <c r="C230" s="11" t="s">
        <v>916</v>
      </c>
      <c r="D230" s="12" t="s">
        <v>924</v>
      </c>
      <c r="E230" s="12" t="s">
        <v>925</v>
      </c>
      <c r="F230" s="12" t="s">
        <v>924</v>
      </c>
      <c r="G230" s="11" t="s">
        <v>72</v>
      </c>
      <c r="H230" s="11" t="s">
        <v>4</v>
      </c>
      <c r="I230" s="13"/>
      <c r="J230" s="11" t="s">
        <v>49</v>
      </c>
      <c r="K230" s="12" t="s">
        <v>919</v>
      </c>
      <c r="L230" s="12"/>
      <c r="M230" s="11" t="s">
        <v>50</v>
      </c>
      <c r="N230" s="12" t="s">
        <v>51</v>
      </c>
      <c r="O230" s="11" t="s">
        <v>27</v>
      </c>
      <c r="P230" s="11" t="s">
        <v>52</v>
      </c>
      <c r="Q230" s="12" t="s">
        <v>210</v>
      </c>
    </row>
    <row r="231" customFormat="false" ht="22.35" hidden="false" customHeight="false" outlineLevel="0" collapsed="false">
      <c r="A231" s="11" t="s">
        <v>926</v>
      </c>
      <c r="B231" s="11" t="s">
        <v>14</v>
      </c>
      <c r="C231" s="11" t="s">
        <v>916</v>
      </c>
      <c r="D231" s="12" t="s">
        <v>927</v>
      </c>
      <c r="E231" s="12" t="s">
        <v>928</v>
      </c>
      <c r="F231" s="12" t="s">
        <v>927</v>
      </c>
      <c r="G231" s="11" t="s">
        <v>72</v>
      </c>
      <c r="H231" s="11" t="s">
        <v>4</v>
      </c>
      <c r="I231" s="13"/>
      <c r="J231" s="11" t="s">
        <v>49</v>
      </c>
      <c r="K231" s="12" t="s">
        <v>919</v>
      </c>
      <c r="L231" s="12"/>
      <c r="M231" s="11" t="s">
        <v>50</v>
      </c>
      <c r="N231" s="12" t="s">
        <v>51</v>
      </c>
      <c r="O231" s="11" t="s">
        <v>27</v>
      </c>
      <c r="P231" s="11" t="s">
        <v>52</v>
      </c>
      <c r="Q231" s="12" t="s">
        <v>210</v>
      </c>
    </row>
    <row r="232" customFormat="false" ht="22.35" hidden="false" customHeight="false" outlineLevel="0" collapsed="false">
      <c r="A232" s="11" t="s">
        <v>929</v>
      </c>
      <c r="B232" s="11" t="s">
        <v>14</v>
      </c>
      <c r="C232" s="11" t="s">
        <v>916</v>
      </c>
      <c r="D232" s="12" t="s">
        <v>74</v>
      </c>
      <c r="E232" s="12" t="s">
        <v>930</v>
      </c>
      <c r="F232" s="12" t="s">
        <v>931</v>
      </c>
      <c r="G232" s="11" t="s">
        <v>59</v>
      </c>
      <c r="H232" s="11" t="s">
        <v>4</v>
      </c>
      <c r="I232" s="13" t="n">
        <v>0.875</v>
      </c>
      <c r="J232" s="11" t="s">
        <v>49</v>
      </c>
      <c r="K232" s="12" t="s">
        <v>932</v>
      </c>
      <c r="L232" s="12" t="s">
        <v>933</v>
      </c>
      <c r="M232" s="11" t="s">
        <v>50</v>
      </c>
      <c r="N232" s="12" t="s">
        <v>51</v>
      </c>
      <c r="O232" s="11" t="s">
        <v>27</v>
      </c>
      <c r="P232" s="11" t="s">
        <v>52</v>
      </c>
      <c r="Q232" s="12"/>
    </row>
    <row r="233" customFormat="false" ht="22.35" hidden="false" customHeight="false" outlineLevel="0" collapsed="false">
      <c r="A233" s="11" t="s">
        <v>934</v>
      </c>
      <c r="B233" s="11" t="s">
        <v>14</v>
      </c>
      <c r="C233" s="11" t="s">
        <v>916</v>
      </c>
      <c r="D233" s="12" t="s">
        <v>935</v>
      </c>
      <c r="E233" s="12" t="s">
        <v>936</v>
      </c>
      <c r="F233" s="12" t="s">
        <v>935</v>
      </c>
      <c r="G233" s="11" t="s">
        <v>59</v>
      </c>
      <c r="H233" s="11" t="s">
        <v>4</v>
      </c>
      <c r="I233" s="13"/>
      <c r="J233" s="11" t="s">
        <v>49</v>
      </c>
      <c r="K233" s="12" t="s">
        <v>919</v>
      </c>
      <c r="L233" s="12"/>
      <c r="M233" s="11" t="s">
        <v>50</v>
      </c>
      <c r="N233" s="12" t="s">
        <v>51</v>
      </c>
      <c r="O233" s="11" t="s">
        <v>27</v>
      </c>
      <c r="P233" s="11" t="s">
        <v>52</v>
      </c>
      <c r="Q233" s="12" t="s">
        <v>210</v>
      </c>
    </row>
    <row r="234" customFormat="false" ht="32.8" hidden="false" customHeight="false" outlineLevel="0" collapsed="false">
      <c r="A234" s="11" t="s">
        <v>937</v>
      </c>
      <c r="B234" s="11" t="s">
        <v>14</v>
      </c>
      <c r="C234" s="11" t="s">
        <v>916</v>
      </c>
      <c r="D234" s="12" t="s">
        <v>352</v>
      </c>
      <c r="E234" s="12" t="s">
        <v>938</v>
      </c>
      <c r="F234" s="12" t="s">
        <v>354</v>
      </c>
      <c r="G234" s="11" t="s">
        <v>72</v>
      </c>
      <c r="H234" s="11" t="s">
        <v>5</v>
      </c>
      <c r="I234" s="13" t="n">
        <v>0.333333333333333</v>
      </c>
      <c r="J234" s="11" t="s">
        <v>49</v>
      </c>
      <c r="K234" s="12" t="s">
        <v>355</v>
      </c>
      <c r="L234" s="12" t="s">
        <v>356</v>
      </c>
      <c r="M234" s="11" t="s">
        <v>50</v>
      </c>
      <c r="N234" s="12" t="s">
        <v>277</v>
      </c>
      <c r="O234" s="11" t="s">
        <v>25</v>
      </c>
      <c r="P234" s="11" t="s">
        <v>52</v>
      </c>
      <c r="Q234" s="12"/>
    </row>
    <row r="235" customFormat="false" ht="32.8" hidden="false" customHeight="false" outlineLevel="0" collapsed="false">
      <c r="A235" s="11" t="s">
        <v>939</v>
      </c>
      <c r="B235" s="11" t="s">
        <v>14</v>
      </c>
      <c r="C235" s="11" t="s">
        <v>916</v>
      </c>
      <c r="D235" s="12" t="s">
        <v>358</v>
      </c>
      <c r="E235" s="12" t="s">
        <v>940</v>
      </c>
      <c r="F235" s="12" t="s">
        <v>354</v>
      </c>
      <c r="G235" s="11" t="s">
        <v>72</v>
      </c>
      <c r="H235" s="11" t="s">
        <v>4</v>
      </c>
      <c r="I235" s="13" t="n">
        <v>0.545454545454545</v>
      </c>
      <c r="J235" s="11" t="s">
        <v>49</v>
      </c>
      <c r="K235" s="12" t="s">
        <v>360</v>
      </c>
      <c r="L235" s="12" t="s">
        <v>361</v>
      </c>
      <c r="M235" s="11" t="s">
        <v>50</v>
      </c>
      <c r="N235" s="12" t="s">
        <v>51</v>
      </c>
      <c r="O235" s="11" t="s">
        <v>27</v>
      </c>
      <c r="P235" s="11" t="s">
        <v>52</v>
      </c>
      <c r="Q235" s="12"/>
    </row>
    <row r="236" customFormat="false" ht="22.35" hidden="false" customHeight="false" outlineLevel="0" collapsed="false">
      <c r="A236" s="11" t="s">
        <v>941</v>
      </c>
      <c r="B236" s="11" t="s">
        <v>14</v>
      </c>
      <c r="C236" s="11" t="s">
        <v>916</v>
      </c>
      <c r="D236" s="12" t="s">
        <v>942</v>
      </c>
      <c r="E236" s="12" t="s">
        <v>943</v>
      </c>
      <c r="F236" s="12" t="s">
        <v>371</v>
      </c>
      <c r="G236" s="11" t="s">
        <v>72</v>
      </c>
      <c r="H236" s="11" t="s">
        <v>4</v>
      </c>
      <c r="I236" s="13" t="n">
        <v>0.777777777777778</v>
      </c>
      <c r="J236" s="11" t="s">
        <v>49</v>
      </c>
      <c r="K236" s="12" t="s">
        <v>372</v>
      </c>
      <c r="L236" s="12" t="s">
        <v>373</v>
      </c>
      <c r="M236" s="11" t="s">
        <v>50</v>
      </c>
      <c r="N236" s="12" t="s">
        <v>51</v>
      </c>
      <c r="O236" s="11" t="s">
        <v>27</v>
      </c>
      <c r="P236" s="11" t="s">
        <v>52</v>
      </c>
      <c r="Q236" s="12"/>
    </row>
    <row r="237" customFormat="false" ht="22.35" hidden="false" customHeight="false" outlineLevel="0" collapsed="false">
      <c r="A237" s="11" t="s">
        <v>944</v>
      </c>
      <c r="B237" s="11" t="s">
        <v>14</v>
      </c>
      <c r="C237" s="11" t="s">
        <v>916</v>
      </c>
      <c r="D237" s="12" t="s">
        <v>74</v>
      </c>
      <c r="E237" s="12" t="s">
        <v>945</v>
      </c>
      <c r="F237" s="12" t="s">
        <v>946</v>
      </c>
      <c r="G237" s="11" t="s">
        <v>72</v>
      </c>
      <c r="H237" s="11" t="s">
        <v>9</v>
      </c>
      <c r="I237" s="13"/>
      <c r="J237" s="11" t="s">
        <v>49</v>
      </c>
      <c r="K237" s="12"/>
      <c r="L237" s="12" t="s">
        <v>394</v>
      </c>
      <c r="M237" s="11" t="s">
        <v>50</v>
      </c>
      <c r="N237" s="12" t="s">
        <v>51</v>
      </c>
      <c r="O237" s="11" t="s">
        <v>28</v>
      </c>
      <c r="P237" s="11" t="s">
        <v>52</v>
      </c>
      <c r="Q237" s="12" t="s">
        <v>60</v>
      </c>
    </row>
    <row r="238" customFormat="false" ht="22.35" hidden="false" customHeight="false" outlineLevel="0" collapsed="false">
      <c r="A238" s="11" t="s">
        <v>947</v>
      </c>
      <c r="B238" s="11" t="s">
        <v>14</v>
      </c>
      <c r="C238" s="11" t="s">
        <v>948</v>
      </c>
      <c r="D238" s="12" t="s">
        <v>74</v>
      </c>
      <c r="E238" s="12" t="s">
        <v>949</v>
      </c>
      <c r="F238" s="12" t="s">
        <v>76</v>
      </c>
      <c r="G238" s="11" t="s">
        <v>72</v>
      </c>
      <c r="H238" s="11" t="s">
        <v>4</v>
      </c>
      <c r="I238" s="13" t="n">
        <v>0.846153846153846</v>
      </c>
      <c r="J238" s="11" t="s">
        <v>49</v>
      </c>
      <c r="K238" s="12" t="s">
        <v>77</v>
      </c>
      <c r="L238" s="12" t="s">
        <v>78</v>
      </c>
      <c r="M238" s="11" t="s">
        <v>50</v>
      </c>
      <c r="N238" s="12" t="s">
        <v>51</v>
      </c>
      <c r="O238" s="11" t="s">
        <v>27</v>
      </c>
      <c r="P238" s="11" t="s">
        <v>52</v>
      </c>
      <c r="Q238" s="12"/>
    </row>
    <row r="239" customFormat="false" ht="22.35" hidden="false" customHeight="false" outlineLevel="0" collapsed="false">
      <c r="A239" s="11" t="s">
        <v>950</v>
      </c>
      <c r="B239" s="11" t="s">
        <v>14</v>
      </c>
      <c r="C239" s="11" t="s">
        <v>948</v>
      </c>
      <c r="D239" s="12" t="s">
        <v>80</v>
      </c>
      <c r="E239" s="12" t="s">
        <v>951</v>
      </c>
      <c r="F239" s="12" t="s">
        <v>82</v>
      </c>
      <c r="G239" s="11" t="s">
        <v>72</v>
      </c>
      <c r="H239" s="11" t="s">
        <v>4</v>
      </c>
      <c r="I239" s="13" t="n">
        <v>1</v>
      </c>
      <c r="J239" s="11" t="s">
        <v>49</v>
      </c>
      <c r="K239" s="12" t="s">
        <v>83</v>
      </c>
      <c r="L239" s="12"/>
      <c r="M239" s="11" t="s">
        <v>50</v>
      </c>
      <c r="N239" s="12" t="s">
        <v>51</v>
      </c>
      <c r="O239" s="11" t="s">
        <v>27</v>
      </c>
      <c r="P239" s="11" t="s">
        <v>52</v>
      </c>
      <c r="Q239" s="12"/>
    </row>
    <row r="240" customFormat="false" ht="22.35" hidden="false" customHeight="false" outlineLevel="0" collapsed="false">
      <c r="A240" s="11" t="s">
        <v>952</v>
      </c>
      <c r="B240" s="11" t="s">
        <v>14</v>
      </c>
      <c r="C240" s="11" t="s">
        <v>948</v>
      </c>
      <c r="D240" s="12" t="s">
        <v>85</v>
      </c>
      <c r="E240" s="12" t="s">
        <v>953</v>
      </c>
      <c r="F240" s="12" t="s">
        <v>87</v>
      </c>
      <c r="G240" s="11" t="s">
        <v>72</v>
      </c>
      <c r="H240" s="11" t="s">
        <v>4</v>
      </c>
      <c r="I240" s="13" t="n">
        <v>0.866666666666667</v>
      </c>
      <c r="J240" s="11" t="s">
        <v>49</v>
      </c>
      <c r="K240" s="12" t="s">
        <v>88</v>
      </c>
      <c r="L240" s="12" t="s">
        <v>89</v>
      </c>
      <c r="M240" s="11" t="s">
        <v>50</v>
      </c>
      <c r="N240" s="12" t="s">
        <v>51</v>
      </c>
      <c r="O240" s="11" t="s">
        <v>27</v>
      </c>
      <c r="P240" s="11" t="s">
        <v>52</v>
      </c>
      <c r="Q240" s="12"/>
    </row>
    <row r="241" customFormat="false" ht="22.35" hidden="false" customHeight="false" outlineLevel="0" collapsed="false">
      <c r="A241" s="11" t="s">
        <v>954</v>
      </c>
      <c r="B241" s="11" t="s">
        <v>14</v>
      </c>
      <c r="C241" s="11" t="s">
        <v>948</v>
      </c>
      <c r="D241" s="12" t="s">
        <v>74</v>
      </c>
      <c r="E241" s="12" t="s">
        <v>955</v>
      </c>
      <c r="F241" s="12" t="s">
        <v>956</v>
      </c>
      <c r="G241" s="11" t="s">
        <v>72</v>
      </c>
      <c r="H241" s="11" t="s">
        <v>4</v>
      </c>
      <c r="I241" s="13" t="n">
        <v>0.888888888888889</v>
      </c>
      <c r="J241" s="11" t="s">
        <v>49</v>
      </c>
      <c r="K241" s="12" t="s">
        <v>957</v>
      </c>
      <c r="L241" s="12" t="s">
        <v>958</v>
      </c>
      <c r="M241" s="11" t="s">
        <v>50</v>
      </c>
      <c r="N241" s="12" t="s">
        <v>51</v>
      </c>
      <c r="O241" s="11" t="s">
        <v>27</v>
      </c>
      <c r="P241" s="11" t="s">
        <v>52</v>
      </c>
      <c r="Q241" s="12"/>
    </row>
    <row r="242" customFormat="false" ht="22.35" hidden="false" customHeight="false" outlineLevel="0" collapsed="false">
      <c r="A242" s="11" t="s">
        <v>959</v>
      </c>
      <c r="B242" s="11" t="s">
        <v>14</v>
      </c>
      <c r="C242" s="11" t="s">
        <v>948</v>
      </c>
      <c r="D242" s="12" t="s">
        <v>93</v>
      </c>
      <c r="E242" s="12" t="s">
        <v>960</v>
      </c>
      <c r="F242" s="12" t="s">
        <v>93</v>
      </c>
      <c r="G242" s="11" t="s">
        <v>48</v>
      </c>
      <c r="H242" s="11" t="s">
        <v>9</v>
      </c>
      <c r="I242" s="13"/>
      <c r="J242" s="11" t="s">
        <v>49</v>
      </c>
      <c r="K242" s="12" t="s">
        <v>961</v>
      </c>
      <c r="L242" s="12"/>
      <c r="M242" s="11" t="s">
        <v>50</v>
      </c>
      <c r="N242" s="12" t="s">
        <v>51</v>
      </c>
      <c r="O242" s="11" t="s">
        <v>28</v>
      </c>
      <c r="P242" s="11" t="s">
        <v>52</v>
      </c>
      <c r="Q242" s="12" t="s">
        <v>53</v>
      </c>
    </row>
    <row r="243" customFormat="false" ht="22.35" hidden="false" customHeight="false" outlineLevel="0" collapsed="false">
      <c r="A243" s="11" t="s">
        <v>962</v>
      </c>
      <c r="B243" s="11" t="s">
        <v>14</v>
      </c>
      <c r="C243" s="11" t="s">
        <v>948</v>
      </c>
      <c r="D243" s="12" t="s">
        <v>74</v>
      </c>
      <c r="E243" s="12" t="s">
        <v>963</v>
      </c>
      <c r="F243" s="12" t="s">
        <v>197</v>
      </c>
      <c r="G243" s="11" t="s">
        <v>72</v>
      </c>
      <c r="H243" s="11" t="s">
        <v>4</v>
      </c>
      <c r="I243" s="13" t="n">
        <v>0.9375</v>
      </c>
      <c r="J243" s="11" t="s">
        <v>49</v>
      </c>
      <c r="K243" s="12" t="s">
        <v>198</v>
      </c>
      <c r="L243" s="12" t="s">
        <v>199</v>
      </c>
      <c r="M243" s="11" t="s">
        <v>50</v>
      </c>
      <c r="N243" s="12" t="s">
        <v>51</v>
      </c>
      <c r="O243" s="11" t="s">
        <v>27</v>
      </c>
      <c r="P243" s="11" t="s">
        <v>52</v>
      </c>
      <c r="Q243" s="12"/>
    </row>
    <row r="244" customFormat="false" ht="22.35" hidden="false" customHeight="false" outlineLevel="0" collapsed="false">
      <c r="A244" s="11" t="s">
        <v>964</v>
      </c>
      <c r="B244" s="11" t="s">
        <v>14</v>
      </c>
      <c r="C244" s="11" t="s">
        <v>948</v>
      </c>
      <c r="D244" s="12" t="s">
        <v>177</v>
      </c>
      <c r="E244" s="12" t="s">
        <v>965</v>
      </c>
      <c r="F244" s="12" t="s">
        <v>202</v>
      </c>
      <c r="G244" s="11" t="s">
        <v>72</v>
      </c>
      <c r="H244" s="11" t="s">
        <v>4</v>
      </c>
      <c r="I244" s="13" t="n">
        <v>0.972222222222222</v>
      </c>
      <c r="J244" s="11" t="s">
        <v>49</v>
      </c>
      <c r="K244" s="12" t="s">
        <v>180</v>
      </c>
      <c r="L244" s="12" t="s">
        <v>204</v>
      </c>
      <c r="M244" s="11" t="s">
        <v>50</v>
      </c>
      <c r="N244" s="12" t="s">
        <v>51</v>
      </c>
      <c r="O244" s="11" t="s">
        <v>27</v>
      </c>
      <c r="P244" s="11" t="s">
        <v>52</v>
      </c>
      <c r="Q244" s="12"/>
    </row>
    <row r="245" customFormat="false" ht="32.8" hidden="false" customHeight="false" outlineLevel="0" collapsed="false">
      <c r="A245" s="11" t="s">
        <v>966</v>
      </c>
      <c r="B245" s="11" t="s">
        <v>14</v>
      </c>
      <c r="C245" s="11" t="s">
        <v>948</v>
      </c>
      <c r="D245" s="12" t="s">
        <v>182</v>
      </c>
      <c r="E245" s="12" t="s">
        <v>967</v>
      </c>
      <c r="F245" s="12" t="s">
        <v>213</v>
      </c>
      <c r="G245" s="11" t="s">
        <v>72</v>
      </c>
      <c r="H245" s="11" t="s">
        <v>4</v>
      </c>
      <c r="I245" s="13" t="n">
        <v>0.766666666666667</v>
      </c>
      <c r="J245" s="11" t="s">
        <v>49</v>
      </c>
      <c r="K245" s="12" t="s">
        <v>214</v>
      </c>
      <c r="L245" s="12" t="s">
        <v>215</v>
      </c>
      <c r="M245" s="11" t="s">
        <v>50</v>
      </c>
      <c r="N245" s="12" t="s">
        <v>51</v>
      </c>
      <c r="O245" s="11" t="s">
        <v>27</v>
      </c>
      <c r="P245" s="11" t="s">
        <v>52</v>
      </c>
      <c r="Q245" s="12"/>
    </row>
    <row r="246" customFormat="false" ht="43.25" hidden="false" customHeight="false" outlineLevel="0" collapsed="false">
      <c r="A246" s="11" t="s">
        <v>968</v>
      </c>
      <c r="B246" s="11" t="s">
        <v>14</v>
      </c>
      <c r="C246" s="11" t="s">
        <v>948</v>
      </c>
      <c r="D246" s="12" t="s">
        <v>217</v>
      </c>
      <c r="E246" s="12" t="s">
        <v>969</v>
      </c>
      <c r="F246" s="12" t="s">
        <v>217</v>
      </c>
      <c r="G246" s="11" t="s">
        <v>72</v>
      </c>
      <c r="H246" s="11" t="s">
        <v>4</v>
      </c>
      <c r="I246" s="13" t="n">
        <v>0.75</v>
      </c>
      <c r="J246" s="11" t="s">
        <v>49</v>
      </c>
      <c r="K246" s="12" t="s">
        <v>219</v>
      </c>
      <c r="L246" s="12" t="s">
        <v>220</v>
      </c>
      <c r="M246" s="11" t="s">
        <v>50</v>
      </c>
      <c r="N246" s="12" t="s">
        <v>51</v>
      </c>
      <c r="O246" s="11" t="s">
        <v>27</v>
      </c>
      <c r="P246" s="11" t="s">
        <v>52</v>
      </c>
      <c r="Q246" s="12"/>
    </row>
    <row r="247" customFormat="false" ht="22.35" hidden="false" customHeight="false" outlineLevel="0" collapsed="false">
      <c r="A247" s="11" t="s">
        <v>970</v>
      </c>
      <c r="B247" s="11" t="s">
        <v>14</v>
      </c>
      <c r="C247" s="11" t="s">
        <v>948</v>
      </c>
      <c r="D247" s="12" t="s">
        <v>102</v>
      </c>
      <c r="E247" s="12" t="s">
        <v>971</v>
      </c>
      <c r="F247" s="12" t="s">
        <v>102</v>
      </c>
      <c r="G247" s="11" t="s">
        <v>48</v>
      </c>
      <c r="H247" s="11" t="s">
        <v>9</v>
      </c>
      <c r="I247" s="13"/>
      <c r="J247" s="11" t="s">
        <v>49</v>
      </c>
      <c r="K247" s="12" t="s">
        <v>961</v>
      </c>
      <c r="L247" s="12"/>
      <c r="M247" s="11" t="s">
        <v>50</v>
      </c>
      <c r="N247" s="12" t="s">
        <v>51</v>
      </c>
      <c r="O247" s="11" t="s">
        <v>28</v>
      </c>
      <c r="P247" s="11" t="s">
        <v>52</v>
      </c>
      <c r="Q247" s="12" t="s">
        <v>53</v>
      </c>
    </row>
    <row r="248" customFormat="false" ht="43.25" hidden="false" customHeight="false" outlineLevel="0" collapsed="false">
      <c r="A248" s="11" t="s">
        <v>972</v>
      </c>
      <c r="B248" s="11" t="s">
        <v>14</v>
      </c>
      <c r="C248" s="11" t="s">
        <v>948</v>
      </c>
      <c r="D248" s="12" t="s">
        <v>279</v>
      </c>
      <c r="E248" s="12" t="s">
        <v>973</v>
      </c>
      <c r="F248" s="12" t="s">
        <v>279</v>
      </c>
      <c r="G248" s="11" t="s">
        <v>72</v>
      </c>
      <c r="H248" s="11" t="s">
        <v>5</v>
      </c>
      <c r="I248" s="13" t="n">
        <v>0.333333333333333</v>
      </c>
      <c r="J248" s="11" t="s">
        <v>49</v>
      </c>
      <c r="K248" s="12" t="s">
        <v>281</v>
      </c>
      <c r="L248" s="12" t="s">
        <v>282</v>
      </c>
      <c r="M248" s="11" t="s">
        <v>50</v>
      </c>
      <c r="N248" s="12" t="s">
        <v>277</v>
      </c>
      <c r="O248" s="11" t="s">
        <v>25</v>
      </c>
      <c r="P248" s="11" t="s">
        <v>52</v>
      </c>
      <c r="Q248" s="12"/>
    </row>
    <row r="249" customFormat="false" ht="22.35" hidden="false" customHeight="false" outlineLevel="0" collapsed="false">
      <c r="A249" s="11" t="s">
        <v>974</v>
      </c>
      <c r="B249" s="11" t="s">
        <v>14</v>
      </c>
      <c r="C249" s="11" t="s">
        <v>948</v>
      </c>
      <c r="D249" s="12" t="s">
        <v>284</v>
      </c>
      <c r="E249" s="12" t="s">
        <v>975</v>
      </c>
      <c r="F249" s="12" t="s">
        <v>284</v>
      </c>
      <c r="G249" s="11" t="s">
        <v>72</v>
      </c>
      <c r="H249" s="11" t="s">
        <v>4</v>
      </c>
      <c r="I249" s="13"/>
      <c r="J249" s="11" t="s">
        <v>49</v>
      </c>
      <c r="K249" s="12" t="s">
        <v>961</v>
      </c>
      <c r="L249" s="12"/>
      <c r="M249" s="11" t="s">
        <v>50</v>
      </c>
      <c r="N249" s="12" t="s">
        <v>51</v>
      </c>
      <c r="O249" s="11" t="s">
        <v>27</v>
      </c>
      <c r="P249" s="11" t="s">
        <v>52</v>
      </c>
      <c r="Q249" s="12" t="s">
        <v>210</v>
      </c>
    </row>
    <row r="250" customFormat="false" ht="22.35" hidden="false" customHeight="false" outlineLevel="0" collapsed="false">
      <c r="A250" s="11" t="s">
        <v>976</v>
      </c>
      <c r="B250" s="11" t="s">
        <v>14</v>
      </c>
      <c r="C250" s="11" t="s">
        <v>948</v>
      </c>
      <c r="D250" s="12" t="s">
        <v>287</v>
      </c>
      <c r="E250" s="12" t="s">
        <v>977</v>
      </c>
      <c r="F250" s="12" t="s">
        <v>287</v>
      </c>
      <c r="G250" s="11" t="s">
        <v>72</v>
      </c>
      <c r="H250" s="11" t="s">
        <v>4</v>
      </c>
      <c r="I250" s="13"/>
      <c r="J250" s="11" t="s">
        <v>49</v>
      </c>
      <c r="K250" s="12" t="s">
        <v>961</v>
      </c>
      <c r="L250" s="12"/>
      <c r="M250" s="11" t="s">
        <v>50</v>
      </c>
      <c r="N250" s="12" t="s">
        <v>51</v>
      </c>
      <c r="O250" s="11" t="s">
        <v>27</v>
      </c>
      <c r="P250" s="11" t="s">
        <v>52</v>
      </c>
      <c r="Q250" s="12" t="s">
        <v>210</v>
      </c>
    </row>
    <row r="251" customFormat="false" ht="22.35" hidden="false" customHeight="false" outlineLevel="0" collapsed="false">
      <c r="A251" s="11" t="s">
        <v>978</v>
      </c>
      <c r="B251" s="11" t="s">
        <v>14</v>
      </c>
      <c r="C251" s="11" t="s">
        <v>948</v>
      </c>
      <c r="D251" s="12" t="s">
        <v>189</v>
      </c>
      <c r="E251" s="12" t="s">
        <v>979</v>
      </c>
      <c r="F251" s="12" t="s">
        <v>189</v>
      </c>
      <c r="G251" s="11" t="s">
        <v>48</v>
      </c>
      <c r="H251" s="11" t="s">
        <v>9</v>
      </c>
      <c r="I251" s="13"/>
      <c r="J251" s="11" t="s">
        <v>49</v>
      </c>
      <c r="K251" s="12" t="s">
        <v>961</v>
      </c>
      <c r="L251" s="12"/>
      <c r="M251" s="11" t="s">
        <v>50</v>
      </c>
      <c r="N251" s="12" t="s">
        <v>51</v>
      </c>
      <c r="O251" s="11" t="s">
        <v>28</v>
      </c>
      <c r="P251" s="11" t="s">
        <v>52</v>
      </c>
      <c r="Q251" s="12" t="s">
        <v>53</v>
      </c>
    </row>
    <row r="252" customFormat="false" ht="22.35" hidden="false" customHeight="false" outlineLevel="0" collapsed="false">
      <c r="A252" s="11" t="s">
        <v>980</v>
      </c>
      <c r="B252" s="11" t="s">
        <v>14</v>
      </c>
      <c r="C252" s="11" t="s">
        <v>948</v>
      </c>
      <c r="D252" s="12" t="s">
        <v>116</v>
      </c>
      <c r="E252" s="12" t="s">
        <v>981</v>
      </c>
      <c r="F252" s="12" t="s">
        <v>116</v>
      </c>
      <c r="G252" s="11" t="s">
        <v>48</v>
      </c>
      <c r="H252" s="11" t="s">
        <v>9</v>
      </c>
      <c r="I252" s="13"/>
      <c r="J252" s="11" t="s">
        <v>49</v>
      </c>
      <c r="K252" s="12" t="s">
        <v>961</v>
      </c>
      <c r="L252" s="12"/>
      <c r="M252" s="11" t="s">
        <v>50</v>
      </c>
      <c r="N252" s="12" t="s">
        <v>51</v>
      </c>
      <c r="O252" s="11" t="s">
        <v>28</v>
      </c>
      <c r="P252" s="11" t="s">
        <v>52</v>
      </c>
      <c r="Q252" s="12" t="s">
        <v>53</v>
      </c>
    </row>
    <row r="253" customFormat="false" ht="53.7" hidden="false" customHeight="false" outlineLevel="0" collapsed="false">
      <c r="A253" s="11" t="s">
        <v>982</v>
      </c>
      <c r="B253" s="11" t="s">
        <v>14</v>
      </c>
      <c r="C253" s="11" t="s">
        <v>948</v>
      </c>
      <c r="D253" s="12" t="s">
        <v>297</v>
      </c>
      <c r="E253" s="12" t="s">
        <v>983</v>
      </c>
      <c r="F253" s="12" t="s">
        <v>299</v>
      </c>
      <c r="G253" s="11" t="s">
        <v>72</v>
      </c>
      <c r="H253" s="11" t="s">
        <v>4</v>
      </c>
      <c r="I253" s="13" t="n">
        <v>0.675</v>
      </c>
      <c r="J253" s="11" t="s">
        <v>49</v>
      </c>
      <c r="K253" s="12" t="s">
        <v>300</v>
      </c>
      <c r="L253" s="12" t="s">
        <v>301</v>
      </c>
      <c r="M253" s="11" t="s">
        <v>50</v>
      </c>
      <c r="N253" s="12" t="s">
        <v>51</v>
      </c>
      <c r="O253" s="11" t="s">
        <v>27</v>
      </c>
      <c r="P253" s="11" t="s">
        <v>52</v>
      </c>
      <c r="Q253" s="12"/>
    </row>
    <row r="254" customFormat="false" ht="22.35" hidden="false" customHeight="false" outlineLevel="0" collapsed="false">
      <c r="A254" s="11" t="s">
        <v>984</v>
      </c>
      <c r="B254" s="11" t="s">
        <v>14</v>
      </c>
      <c r="C254" s="11" t="s">
        <v>948</v>
      </c>
      <c r="D254" s="12" t="s">
        <v>93</v>
      </c>
      <c r="E254" s="12" t="s">
        <v>985</v>
      </c>
      <c r="F254" s="12" t="s">
        <v>93</v>
      </c>
      <c r="G254" s="11" t="s">
        <v>48</v>
      </c>
      <c r="H254" s="11" t="s">
        <v>9</v>
      </c>
      <c r="I254" s="13"/>
      <c r="J254" s="11" t="s">
        <v>49</v>
      </c>
      <c r="K254" s="12" t="s">
        <v>961</v>
      </c>
      <c r="L254" s="12"/>
      <c r="M254" s="11" t="s">
        <v>50</v>
      </c>
      <c r="N254" s="12" t="s">
        <v>51</v>
      </c>
      <c r="O254" s="11" t="s">
        <v>28</v>
      </c>
      <c r="P254" s="11" t="s">
        <v>52</v>
      </c>
      <c r="Q254" s="12" t="s">
        <v>53</v>
      </c>
    </row>
    <row r="255" customFormat="false" ht="22.35" hidden="false" customHeight="false" outlineLevel="0" collapsed="false">
      <c r="A255" s="11" t="s">
        <v>986</v>
      </c>
      <c r="B255" s="11" t="s">
        <v>14</v>
      </c>
      <c r="C255" s="11" t="s">
        <v>948</v>
      </c>
      <c r="D255" s="12" t="s">
        <v>74</v>
      </c>
      <c r="E255" s="12" t="s">
        <v>987</v>
      </c>
      <c r="F255" s="12" t="s">
        <v>74</v>
      </c>
      <c r="G255" s="11" t="s">
        <v>72</v>
      </c>
      <c r="H255" s="11" t="s">
        <v>4</v>
      </c>
      <c r="I255" s="13"/>
      <c r="J255" s="11" t="s">
        <v>49</v>
      </c>
      <c r="K255" s="12" t="s">
        <v>961</v>
      </c>
      <c r="L255" s="12"/>
      <c r="M255" s="11" t="s">
        <v>50</v>
      </c>
      <c r="N255" s="12" t="s">
        <v>51</v>
      </c>
      <c r="O255" s="11" t="s">
        <v>27</v>
      </c>
      <c r="P255" s="11" t="s">
        <v>52</v>
      </c>
      <c r="Q255" s="12" t="s">
        <v>210</v>
      </c>
    </row>
    <row r="256" customFormat="false" ht="22.35" hidden="false" customHeight="false" outlineLevel="0" collapsed="false">
      <c r="A256" s="11" t="s">
        <v>988</v>
      </c>
      <c r="B256" s="11" t="s">
        <v>14</v>
      </c>
      <c r="C256" s="11" t="s">
        <v>948</v>
      </c>
      <c r="D256" s="12" t="s">
        <v>313</v>
      </c>
      <c r="E256" s="12" t="s">
        <v>989</v>
      </c>
      <c r="F256" s="12" t="s">
        <v>313</v>
      </c>
      <c r="G256" s="11" t="s">
        <v>72</v>
      </c>
      <c r="H256" s="11" t="s">
        <v>4</v>
      </c>
      <c r="I256" s="13"/>
      <c r="J256" s="11" t="s">
        <v>49</v>
      </c>
      <c r="K256" s="12" t="s">
        <v>961</v>
      </c>
      <c r="L256" s="12"/>
      <c r="M256" s="11" t="s">
        <v>50</v>
      </c>
      <c r="N256" s="12" t="s">
        <v>51</v>
      </c>
      <c r="O256" s="11" t="s">
        <v>27</v>
      </c>
      <c r="P256" s="11" t="s">
        <v>52</v>
      </c>
      <c r="Q256" s="12" t="s">
        <v>210</v>
      </c>
    </row>
    <row r="257" customFormat="false" ht="22.35" hidden="false" customHeight="false" outlineLevel="0" collapsed="false">
      <c r="A257" s="11" t="s">
        <v>990</v>
      </c>
      <c r="B257" s="11" t="s">
        <v>14</v>
      </c>
      <c r="C257" s="11" t="s">
        <v>948</v>
      </c>
      <c r="D257" s="12" t="s">
        <v>182</v>
      </c>
      <c r="E257" s="12" t="s">
        <v>991</v>
      </c>
      <c r="F257" s="12" t="s">
        <v>182</v>
      </c>
      <c r="G257" s="11" t="s">
        <v>72</v>
      </c>
      <c r="H257" s="11" t="s">
        <v>4</v>
      </c>
      <c r="I257" s="13"/>
      <c r="J257" s="11" t="s">
        <v>49</v>
      </c>
      <c r="K257" s="12" t="s">
        <v>961</v>
      </c>
      <c r="L257" s="12"/>
      <c r="M257" s="11" t="s">
        <v>50</v>
      </c>
      <c r="N257" s="12" t="s">
        <v>51</v>
      </c>
      <c r="O257" s="11" t="s">
        <v>27</v>
      </c>
      <c r="P257" s="11" t="s">
        <v>52</v>
      </c>
      <c r="Q257" s="12" t="s">
        <v>210</v>
      </c>
    </row>
    <row r="258" customFormat="false" ht="22.35" hidden="false" customHeight="false" outlineLevel="0" collapsed="false">
      <c r="A258" s="11" t="s">
        <v>992</v>
      </c>
      <c r="B258" s="11" t="s">
        <v>14</v>
      </c>
      <c r="C258" s="11" t="s">
        <v>948</v>
      </c>
      <c r="D258" s="12" t="s">
        <v>102</v>
      </c>
      <c r="E258" s="12" t="s">
        <v>993</v>
      </c>
      <c r="F258" s="12" t="s">
        <v>102</v>
      </c>
      <c r="G258" s="11" t="s">
        <v>48</v>
      </c>
      <c r="H258" s="11" t="s">
        <v>9</v>
      </c>
      <c r="I258" s="13"/>
      <c r="J258" s="11" t="s">
        <v>49</v>
      </c>
      <c r="K258" s="12" t="s">
        <v>961</v>
      </c>
      <c r="L258" s="12"/>
      <c r="M258" s="11" t="s">
        <v>50</v>
      </c>
      <c r="N258" s="12" t="s">
        <v>51</v>
      </c>
      <c r="O258" s="11" t="s">
        <v>28</v>
      </c>
      <c r="P258" s="11" t="s">
        <v>52</v>
      </c>
      <c r="Q258" s="12" t="s">
        <v>53</v>
      </c>
    </row>
    <row r="259" customFormat="false" ht="22.35" hidden="false" customHeight="false" outlineLevel="0" collapsed="false">
      <c r="A259" s="11" t="s">
        <v>994</v>
      </c>
      <c r="B259" s="11" t="s">
        <v>14</v>
      </c>
      <c r="C259" s="11" t="s">
        <v>948</v>
      </c>
      <c r="D259" s="12" t="s">
        <v>80</v>
      </c>
      <c r="E259" s="12" t="s">
        <v>995</v>
      </c>
      <c r="F259" s="12" t="s">
        <v>80</v>
      </c>
      <c r="G259" s="11" t="s">
        <v>72</v>
      </c>
      <c r="H259" s="11" t="s">
        <v>4</v>
      </c>
      <c r="I259" s="13" t="n">
        <v>0.916666666666667</v>
      </c>
      <c r="J259" s="11" t="s">
        <v>49</v>
      </c>
      <c r="K259" s="12" t="s">
        <v>321</v>
      </c>
      <c r="L259" s="12" t="s">
        <v>322</v>
      </c>
      <c r="M259" s="11" t="s">
        <v>50</v>
      </c>
      <c r="N259" s="12" t="s">
        <v>51</v>
      </c>
      <c r="O259" s="11" t="s">
        <v>27</v>
      </c>
      <c r="P259" s="11" t="s">
        <v>52</v>
      </c>
      <c r="Q259" s="12"/>
    </row>
    <row r="260" customFormat="false" ht="22.35" hidden="false" customHeight="false" outlineLevel="0" collapsed="false">
      <c r="A260" s="11" t="s">
        <v>996</v>
      </c>
      <c r="B260" s="11" t="s">
        <v>14</v>
      </c>
      <c r="C260" s="11" t="s">
        <v>948</v>
      </c>
      <c r="D260" s="12" t="s">
        <v>85</v>
      </c>
      <c r="E260" s="12" t="s">
        <v>997</v>
      </c>
      <c r="F260" s="12" t="s">
        <v>87</v>
      </c>
      <c r="G260" s="11" t="s">
        <v>59</v>
      </c>
      <c r="H260" s="11" t="s">
        <v>4</v>
      </c>
      <c r="I260" s="13" t="n">
        <v>0.866666666666667</v>
      </c>
      <c r="J260" s="11" t="s">
        <v>49</v>
      </c>
      <c r="K260" s="12" t="s">
        <v>88</v>
      </c>
      <c r="L260" s="12" t="s">
        <v>89</v>
      </c>
      <c r="M260" s="11" t="s">
        <v>50</v>
      </c>
      <c r="N260" s="12" t="s">
        <v>51</v>
      </c>
      <c r="O260" s="11" t="s">
        <v>27</v>
      </c>
      <c r="P260" s="11" t="s">
        <v>52</v>
      </c>
      <c r="Q260" s="12"/>
    </row>
    <row r="261" customFormat="false" ht="22.35" hidden="false" customHeight="false" outlineLevel="0" collapsed="false">
      <c r="A261" s="11" t="s">
        <v>998</v>
      </c>
      <c r="B261" s="11" t="s">
        <v>14</v>
      </c>
      <c r="C261" s="11" t="s">
        <v>948</v>
      </c>
      <c r="D261" s="12" t="s">
        <v>116</v>
      </c>
      <c r="E261" s="12" t="s">
        <v>999</v>
      </c>
      <c r="F261" s="12" t="s">
        <v>116</v>
      </c>
      <c r="G261" s="11" t="s">
        <v>48</v>
      </c>
      <c r="H261" s="11" t="s">
        <v>9</v>
      </c>
      <c r="I261" s="13"/>
      <c r="J261" s="11" t="s">
        <v>49</v>
      </c>
      <c r="K261" s="12" t="s">
        <v>961</v>
      </c>
      <c r="L261" s="12"/>
      <c r="M261" s="11" t="s">
        <v>50</v>
      </c>
      <c r="N261" s="12" t="s">
        <v>51</v>
      </c>
      <c r="O261" s="11" t="s">
        <v>28</v>
      </c>
      <c r="P261" s="11" t="s">
        <v>52</v>
      </c>
      <c r="Q261" s="12" t="s">
        <v>53</v>
      </c>
    </row>
    <row r="262" customFormat="false" ht="22.35" hidden="false" customHeight="false" outlineLevel="0" collapsed="false">
      <c r="A262" s="11" t="s">
        <v>1000</v>
      </c>
      <c r="B262" s="11" t="s">
        <v>14</v>
      </c>
      <c r="C262" s="11" t="s">
        <v>948</v>
      </c>
      <c r="D262" s="12" t="s">
        <v>62</v>
      </c>
      <c r="E262" s="12" t="s">
        <v>1001</v>
      </c>
      <c r="F262" s="12" t="s">
        <v>62</v>
      </c>
      <c r="G262" s="11" t="s">
        <v>48</v>
      </c>
      <c r="H262" s="11" t="s">
        <v>9</v>
      </c>
      <c r="I262" s="13"/>
      <c r="J262" s="11" t="s">
        <v>49</v>
      </c>
      <c r="K262" s="12" t="s">
        <v>961</v>
      </c>
      <c r="L262" s="12"/>
      <c r="M262" s="11" t="s">
        <v>50</v>
      </c>
      <c r="N262" s="12" t="s">
        <v>51</v>
      </c>
      <c r="O262" s="11" t="s">
        <v>28</v>
      </c>
      <c r="P262" s="11" t="s">
        <v>52</v>
      </c>
      <c r="Q262" s="12" t="s">
        <v>53</v>
      </c>
    </row>
    <row r="263" customFormat="false" ht="22.35" hidden="false" customHeight="false" outlineLevel="0" collapsed="false">
      <c r="A263" s="11" t="s">
        <v>1002</v>
      </c>
      <c r="B263" s="11" t="s">
        <v>14</v>
      </c>
      <c r="C263" s="11" t="s">
        <v>948</v>
      </c>
      <c r="D263" s="12" t="s">
        <v>93</v>
      </c>
      <c r="E263" s="12" t="s">
        <v>1003</v>
      </c>
      <c r="F263" s="12" t="s">
        <v>93</v>
      </c>
      <c r="G263" s="11" t="s">
        <v>48</v>
      </c>
      <c r="H263" s="11" t="s">
        <v>9</v>
      </c>
      <c r="I263" s="13"/>
      <c r="J263" s="11" t="s">
        <v>49</v>
      </c>
      <c r="K263" s="12" t="s">
        <v>961</v>
      </c>
      <c r="L263" s="12"/>
      <c r="M263" s="11" t="s">
        <v>50</v>
      </c>
      <c r="N263" s="12" t="s">
        <v>51</v>
      </c>
      <c r="O263" s="11" t="s">
        <v>28</v>
      </c>
      <c r="P263" s="11" t="s">
        <v>52</v>
      </c>
      <c r="Q263" s="12" t="s">
        <v>53</v>
      </c>
    </row>
    <row r="264" customFormat="false" ht="22.35" hidden="false" customHeight="false" outlineLevel="0" collapsed="false">
      <c r="A264" s="11" t="s">
        <v>1004</v>
      </c>
      <c r="B264" s="11" t="s">
        <v>14</v>
      </c>
      <c r="C264" s="11" t="s">
        <v>948</v>
      </c>
      <c r="D264" s="12" t="s">
        <v>74</v>
      </c>
      <c r="E264" s="12" t="s">
        <v>1005</v>
      </c>
      <c r="F264" s="12" t="s">
        <v>74</v>
      </c>
      <c r="G264" s="11" t="s">
        <v>72</v>
      </c>
      <c r="H264" s="11" t="s">
        <v>4</v>
      </c>
      <c r="I264" s="13"/>
      <c r="J264" s="11" t="s">
        <v>49</v>
      </c>
      <c r="K264" s="12" t="s">
        <v>961</v>
      </c>
      <c r="L264" s="12"/>
      <c r="M264" s="11" t="s">
        <v>50</v>
      </c>
      <c r="N264" s="12" t="s">
        <v>51</v>
      </c>
      <c r="O264" s="11" t="s">
        <v>27</v>
      </c>
      <c r="P264" s="11" t="s">
        <v>52</v>
      </c>
      <c r="Q264" s="12" t="s">
        <v>210</v>
      </c>
    </row>
    <row r="265" customFormat="false" ht="32.8" hidden="false" customHeight="false" outlineLevel="0" collapsed="false">
      <c r="A265" s="11" t="s">
        <v>1006</v>
      </c>
      <c r="B265" s="11" t="s">
        <v>14</v>
      </c>
      <c r="C265" s="11" t="s">
        <v>948</v>
      </c>
      <c r="D265" s="12" t="s">
        <v>98</v>
      </c>
      <c r="E265" s="12" t="s">
        <v>1007</v>
      </c>
      <c r="F265" s="12" t="s">
        <v>98</v>
      </c>
      <c r="G265" s="11" t="s">
        <v>59</v>
      </c>
      <c r="H265" s="11" t="s">
        <v>4</v>
      </c>
      <c r="I265" s="13" t="n">
        <v>1</v>
      </c>
      <c r="J265" s="11" t="s">
        <v>49</v>
      </c>
      <c r="K265" s="12" t="s">
        <v>100</v>
      </c>
      <c r="L265" s="12"/>
      <c r="M265" s="11" t="s">
        <v>50</v>
      </c>
      <c r="N265" s="12" t="s">
        <v>51</v>
      </c>
      <c r="O265" s="11" t="s">
        <v>27</v>
      </c>
      <c r="P265" s="11" t="s">
        <v>52</v>
      </c>
      <c r="Q265" s="12"/>
    </row>
    <row r="266" customFormat="false" ht="22.35" hidden="false" customHeight="false" outlineLevel="0" collapsed="false">
      <c r="A266" s="11" t="s">
        <v>1008</v>
      </c>
      <c r="B266" s="11" t="s">
        <v>14</v>
      </c>
      <c r="C266" s="11" t="s">
        <v>948</v>
      </c>
      <c r="D266" s="12" t="s">
        <v>102</v>
      </c>
      <c r="E266" s="12" t="s">
        <v>1009</v>
      </c>
      <c r="F266" s="12" t="s">
        <v>102</v>
      </c>
      <c r="G266" s="11" t="s">
        <v>48</v>
      </c>
      <c r="H266" s="11" t="s">
        <v>9</v>
      </c>
      <c r="I266" s="13"/>
      <c r="J266" s="11" t="s">
        <v>49</v>
      </c>
      <c r="K266" s="12" t="s">
        <v>961</v>
      </c>
      <c r="L266" s="12"/>
      <c r="M266" s="11" t="s">
        <v>50</v>
      </c>
      <c r="N266" s="12" t="s">
        <v>51</v>
      </c>
      <c r="O266" s="11" t="s">
        <v>28</v>
      </c>
      <c r="P266" s="11" t="s">
        <v>52</v>
      </c>
      <c r="Q266" s="12" t="s">
        <v>53</v>
      </c>
    </row>
    <row r="267" customFormat="false" ht="22.35" hidden="false" customHeight="false" outlineLevel="0" collapsed="false">
      <c r="A267" s="11" t="s">
        <v>1010</v>
      </c>
      <c r="B267" s="11" t="s">
        <v>14</v>
      </c>
      <c r="C267" s="11" t="s">
        <v>948</v>
      </c>
      <c r="D267" s="12" t="s">
        <v>105</v>
      </c>
      <c r="E267" s="12" t="s">
        <v>1011</v>
      </c>
      <c r="F267" s="12" t="s">
        <v>105</v>
      </c>
      <c r="G267" s="11" t="s">
        <v>59</v>
      </c>
      <c r="H267" s="11" t="s">
        <v>4</v>
      </c>
      <c r="I267" s="13"/>
      <c r="J267" s="11" t="s">
        <v>49</v>
      </c>
      <c r="K267" s="12" t="s">
        <v>107</v>
      </c>
      <c r="L267" s="12"/>
      <c r="M267" s="11" t="s">
        <v>50</v>
      </c>
      <c r="N267" s="12" t="s">
        <v>51</v>
      </c>
      <c r="O267" s="11" t="s">
        <v>27</v>
      </c>
      <c r="P267" s="11" t="s">
        <v>52</v>
      </c>
      <c r="Q267" s="12" t="s">
        <v>210</v>
      </c>
    </row>
    <row r="268" customFormat="false" ht="22.35" hidden="false" customHeight="false" outlineLevel="0" collapsed="false">
      <c r="A268" s="11" t="s">
        <v>1012</v>
      </c>
      <c r="B268" s="11" t="s">
        <v>14</v>
      </c>
      <c r="C268" s="11" t="s">
        <v>948</v>
      </c>
      <c r="D268" s="12" t="s">
        <v>109</v>
      </c>
      <c r="E268" s="12" t="s">
        <v>1013</v>
      </c>
      <c r="F268" s="12" t="s">
        <v>109</v>
      </c>
      <c r="G268" s="11" t="s">
        <v>59</v>
      </c>
      <c r="H268" s="11" t="s">
        <v>4</v>
      </c>
      <c r="I268" s="13" t="n">
        <v>1</v>
      </c>
      <c r="J268" s="11" t="s">
        <v>49</v>
      </c>
      <c r="K268" s="12" t="s">
        <v>111</v>
      </c>
      <c r="L268" s="12"/>
      <c r="M268" s="11" t="s">
        <v>50</v>
      </c>
      <c r="N268" s="12" t="s">
        <v>51</v>
      </c>
      <c r="O268" s="11" t="s">
        <v>27</v>
      </c>
      <c r="P268" s="11" t="s">
        <v>52</v>
      </c>
      <c r="Q268" s="12"/>
    </row>
    <row r="269" customFormat="false" ht="32.8" hidden="false" customHeight="false" outlineLevel="0" collapsed="false">
      <c r="A269" s="11" t="s">
        <v>1014</v>
      </c>
      <c r="B269" s="11" t="s">
        <v>14</v>
      </c>
      <c r="C269" s="11" t="s">
        <v>948</v>
      </c>
      <c r="D269" s="12" t="s">
        <v>113</v>
      </c>
      <c r="E269" s="12" t="s">
        <v>1015</v>
      </c>
      <c r="F269" s="12" t="s">
        <v>113</v>
      </c>
      <c r="G269" s="11" t="s">
        <v>48</v>
      </c>
      <c r="H269" s="11" t="s">
        <v>9</v>
      </c>
      <c r="I269" s="13"/>
      <c r="J269" s="11" t="s">
        <v>49</v>
      </c>
      <c r="K269" s="12" t="s">
        <v>961</v>
      </c>
      <c r="L269" s="12"/>
      <c r="M269" s="11" t="s">
        <v>50</v>
      </c>
      <c r="N269" s="12" t="s">
        <v>51</v>
      </c>
      <c r="O269" s="11" t="s">
        <v>28</v>
      </c>
      <c r="P269" s="11" t="s">
        <v>52</v>
      </c>
      <c r="Q269" s="12" t="s">
        <v>53</v>
      </c>
    </row>
    <row r="270" customFormat="false" ht="22.35" hidden="false" customHeight="false" outlineLevel="0" collapsed="false">
      <c r="A270" s="11" t="s">
        <v>1016</v>
      </c>
      <c r="B270" s="11" t="s">
        <v>14</v>
      </c>
      <c r="C270" s="11" t="s">
        <v>948</v>
      </c>
      <c r="D270" s="12" t="s">
        <v>116</v>
      </c>
      <c r="E270" s="12" t="s">
        <v>1017</v>
      </c>
      <c r="F270" s="12" t="s">
        <v>116</v>
      </c>
      <c r="G270" s="11" t="s">
        <v>48</v>
      </c>
      <c r="H270" s="11" t="s">
        <v>9</v>
      </c>
      <c r="I270" s="13"/>
      <c r="J270" s="11" t="s">
        <v>49</v>
      </c>
      <c r="K270" s="12" t="s">
        <v>961</v>
      </c>
      <c r="L270" s="12"/>
      <c r="M270" s="11" t="s">
        <v>50</v>
      </c>
      <c r="N270" s="12" t="s">
        <v>51</v>
      </c>
      <c r="O270" s="11" t="s">
        <v>28</v>
      </c>
      <c r="P270" s="11" t="s">
        <v>52</v>
      </c>
      <c r="Q270" s="12" t="s">
        <v>53</v>
      </c>
    </row>
    <row r="271" customFormat="false" ht="22.35" hidden="false" customHeight="false" outlineLevel="0" collapsed="false">
      <c r="A271" s="11" t="s">
        <v>1018</v>
      </c>
      <c r="B271" s="11" t="s">
        <v>14</v>
      </c>
      <c r="C271" s="11" t="s">
        <v>948</v>
      </c>
      <c r="D271" s="12" t="s">
        <v>74</v>
      </c>
      <c r="E271" s="12" t="s">
        <v>1019</v>
      </c>
      <c r="F271" s="12" t="s">
        <v>1020</v>
      </c>
      <c r="G271" s="11" t="s">
        <v>72</v>
      </c>
      <c r="H271" s="11" t="s">
        <v>9</v>
      </c>
      <c r="I271" s="13"/>
      <c r="J271" s="11" t="s">
        <v>49</v>
      </c>
      <c r="K271" s="12"/>
      <c r="L271" s="12" t="s">
        <v>394</v>
      </c>
      <c r="M271" s="11" t="s">
        <v>50</v>
      </c>
      <c r="N271" s="12" t="s">
        <v>51</v>
      </c>
      <c r="O271" s="11" t="s">
        <v>28</v>
      </c>
      <c r="P271" s="11" t="s">
        <v>52</v>
      </c>
      <c r="Q271" s="12" t="s">
        <v>60</v>
      </c>
    </row>
    <row r="272" customFormat="false" ht="15" hidden="false" customHeight="false" outlineLevel="0" collapsed="false">
      <c r="A272" s="11" t="s">
        <v>1021</v>
      </c>
      <c r="B272" s="11" t="s">
        <v>14</v>
      </c>
      <c r="C272" s="11" t="s">
        <v>1022</v>
      </c>
      <c r="D272" s="12" t="s">
        <v>93</v>
      </c>
      <c r="E272" s="12" t="s">
        <v>1023</v>
      </c>
      <c r="F272" s="12" t="s">
        <v>93</v>
      </c>
      <c r="G272" s="11" t="s">
        <v>48</v>
      </c>
      <c r="H272" s="11" t="s">
        <v>9</v>
      </c>
      <c r="I272" s="13"/>
      <c r="J272" s="11" t="s">
        <v>49</v>
      </c>
      <c r="K272" s="12"/>
      <c r="L272" s="12"/>
      <c r="M272" s="11" t="s">
        <v>50</v>
      </c>
      <c r="N272" s="12" t="s">
        <v>51</v>
      </c>
      <c r="O272" s="11" t="s">
        <v>28</v>
      </c>
      <c r="P272" s="11" t="s">
        <v>52</v>
      </c>
      <c r="Q272" s="12" t="s">
        <v>53</v>
      </c>
    </row>
    <row r="273" customFormat="false" ht="15" hidden="false" customHeight="false" outlineLevel="0" collapsed="false">
      <c r="A273" s="11" t="s">
        <v>1024</v>
      </c>
      <c r="B273" s="11" t="s">
        <v>14</v>
      </c>
      <c r="C273" s="11" t="s">
        <v>1022</v>
      </c>
      <c r="D273" s="12" t="s">
        <v>1025</v>
      </c>
      <c r="E273" s="12" t="s">
        <v>1026</v>
      </c>
      <c r="F273" s="12" t="s">
        <v>1027</v>
      </c>
      <c r="G273" s="11" t="s">
        <v>72</v>
      </c>
      <c r="H273" s="11" t="s">
        <v>4</v>
      </c>
      <c r="I273" s="13"/>
      <c r="J273" s="11" t="s">
        <v>49</v>
      </c>
      <c r="K273" s="12" t="s">
        <v>1028</v>
      </c>
      <c r="L273" s="12"/>
      <c r="M273" s="11" t="s">
        <v>50</v>
      </c>
      <c r="N273" s="12" t="s">
        <v>51</v>
      </c>
      <c r="O273" s="11" t="s">
        <v>27</v>
      </c>
      <c r="P273" s="11" t="s">
        <v>52</v>
      </c>
      <c r="Q273" s="12" t="s">
        <v>210</v>
      </c>
    </row>
    <row r="274" customFormat="false" ht="15" hidden="false" customHeight="false" outlineLevel="0" collapsed="false">
      <c r="A274" s="11" t="s">
        <v>1029</v>
      </c>
      <c r="B274" s="11" t="s">
        <v>14</v>
      </c>
      <c r="C274" s="11" t="s">
        <v>1022</v>
      </c>
      <c r="D274" s="12" t="s">
        <v>74</v>
      </c>
      <c r="E274" s="12" t="s">
        <v>1030</v>
      </c>
      <c r="F274" s="12" t="s">
        <v>74</v>
      </c>
      <c r="G274" s="11" t="s">
        <v>59</v>
      </c>
      <c r="H274" s="11" t="s">
        <v>9</v>
      </c>
      <c r="I274" s="13"/>
      <c r="J274" s="11" t="s">
        <v>49</v>
      </c>
      <c r="K274" s="12"/>
      <c r="L274" s="12"/>
      <c r="M274" s="11" t="s">
        <v>50</v>
      </c>
      <c r="N274" s="12" t="s">
        <v>51</v>
      </c>
      <c r="O274" s="11" t="s">
        <v>28</v>
      </c>
      <c r="P274" s="11" t="s">
        <v>52</v>
      </c>
      <c r="Q274" s="12" t="s">
        <v>60</v>
      </c>
    </row>
    <row r="275" customFormat="false" ht="22.35" hidden="false" customHeight="false" outlineLevel="0" collapsed="false">
      <c r="A275" s="11" t="s">
        <v>1031</v>
      </c>
      <c r="B275" s="11" t="s">
        <v>14</v>
      </c>
      <c r="C275" s="11" t="s">
        <v>1022</v>
      </c>
      <c r="D275" s="12" t="s">
        <v>1032</v>
      </c>
      <c r="E275" s="12" t="s">
        <v>1033</v>
      </c>
      <c r="F275" s="12" t="s">
        <v>1032</v>
      </c>
      <c r="G275" s="11" t="s">
        <v>59</v>
      </c>
      <c r="H275" s="11" t="s">
        <v>4</v>
      </c>
      <c r="I275" s="13"/>
      <c r="J275" s="11" t="s">
        <v>49</v>
      </c>
      <c r="K275" s="12" t="s">
        <v>1034</v>
      </c>
      <c r="L275" s="12"/>
      <c r="M275" s="11" t="s">
        <v>50</v>
      </c>
      <c r="N275" s="12" t="s">
        <v>51</v>
      </c>
      <c r="O275" s="11" t="s">
        <v>27</v>
      </c>
      <c r="P275" s="11" t="s">
        <v>52</v>
      </c>
      <c r="Q275" s="12" t="s">
        <v>210</v>
      </c>
    </row>
    <row r="276" customFormat="false" ht="15" hidden="false" customHeight="false" outlineLevel="0" collapsed="false">
      <c r="A276" s="11" t="s">
        <v>1035</v>
      </c>
      <c r="B276" s="11" t="s">
        <v>14</v>
      </c>
      <c r="C276" s="11" t="s">
        <v>1022</v>
      </c>
      <c r="D276" s="12" t="s">
        <v>182</v>
      </c>
      <c r="E276" s="12" t="s">
        <v>1036</v>
      </c>
      <c r="F276" s="12" t="s">
        <v>182</v>
      </c>
      <c r="G276" s="11" t="s">
        <v>59</v>
      </c>
      <c r="H276" s="11" t="s">
        <v>9</v>
      </c>
      <c r="I276" s="13"/>
      <c r="J276" s="11" t="s">
        <v>49</v>
      </c>
      <c r="K276" s="12"/>
      <c r="L276" s="12"/>
      <c r="M276" s="11" t="s">
        <v>50</v>
      </c>
      <c r="N276" s="12" t="s">
        <v>51</v>
      </c>
      <c r="O276" s="11" t="s">
        <v>28</v>
      </c>
      <c r="P276" s="11" t="s">
        <v>52</v>
      </c>
      <c r="Q276" s="12" t="s">
        <v>60</v>
      </c>
    </row>
    <row r="277" customFormat="false" ht="15" hidden="false" customHeight="false" outlineLevel="0" collapsed="false">
      <c r="A277" s="11" t="s">
        <v>1037</v>
      </c>
      <c r="B277" s="11" t="s">
        <v>14</v>
      </c>
      <c r="C277" s="11" t="s">
        <v>1022</v>
      </c>
      <c r="D277" s="12" t="s">
        <v>102</v>
      </c>
      <c r="E277" s="12" t="s">
        <v>1038</v>
      </c>
      <c r="F277" s="12" t="s">
        <v>102</v>
      </c>
      <c r="G277" s="11" t="s">
        <v>48</v>
      </c>
      <c r="H277" s="11" t="s">
        <v>9</v>
      </c>
      <c r="I277" s="13"/>
      <c r="J277" s="11" t="s">
        <v>49</v>
      </c>
      <c r="K277" s="12"/>
      <c r="L277" s="12"/>
      <c r="M277" s="11" t="s">
        <v>50</v>
      </c>
      <c r="N277" s="12" t="s">
        <v>51</v>
      </c>
      <c r="O277" s="11" t="s">
        <v>28</v>
      </c>
      <c r="P277" s="11" t="s">
        <v>52</v>
      </c>
      <c r="Q277" s="12" t="s">
        <v>53</v>
      </c>
    </row>
    <row r="278" customFormat="false" ht="15" hidden="false" customHeight="false" outlineLevel="0" collapsed="false">
      <c r="A278" s="11" t="s">
        <v>1039</v>
      </c>
      <c r="B278" s="11" t="s">
        <v>14</v>
      </c>
      <c r="C278" s="11" t="s">
        <v>1022</v>
      </c>
      <c r="D278" s="12" t="s">
        <v>116</v>
      </c>
      <c r="E278" s="12" t="s">
        <v>1040</v>
      </c>
      <c r="F278" s="12" t="s">
        <v>116</v>
      </c>
      <c r="G278" s="11" t="s">
        <v>48</v>
      </c>
      <c r="H278" s="11" t="s">
        <v>9</v>
      </c>
      <c r="I278" s="13"/>
      <c r="J278" s="11" t="s">
        <v>49</v>
      </c>
      <c r="K278" s="12"/>
      <c r="L278" s="12"/>
      <c r="M278" s="11" t="s">
        <v>50</v>
      </c>
      <c r="N278" s="12" t="s">
        <v>51</v>
      </c>
      <c r="O278" s="11" t="s">
        <v>28</v>
      </c>
      <c r="P278" s="11" t="s">
        <v>52</v>
      </c>
      <c r="Q278" s="12" t="s">
        <v>53</v>
      </c>
    </row>
    <row r="279" customFormat="false" ht="15" hidden="false" customHeight="false" outlineLevel="0" collapsed="false">
      <c r="A279" s="11" t="s">
        <v>1041</v>
      </c>
      <c r="B279" s="11" t="s">
        <v>14</v>
      </c>
      <c r="C279" s="11" t="s">
        <v>1042</v>
      </c>
      <c r="D279" s="12" t="s">
        <v>62</v>
      </c>
      <c r="E279" s="12" t="s">
        <v>1043</v>
      </c>
      <c r="F279" s="12" t="s">
        <v>62</v>
      </c>
      <c r="G279" s="11" t="s">
        <v>48</v>
      </c>
      <c r="H279" s="11" t="s">
        <v>9</v>
      </c>
      <c r="I279" s="13"/>
      <c r="J279" s="11" t="s">
        <v>49</v>
      </c>
      <c r="K279" s="12" t="s">
        <v>1028</v>
      </c>
      <c r="L279" s="12"/>
      <c r="M279" s="11" t="s">
        <v>50</v>
      </c>
      <c r="N279" s="12" t="s">
        <v>51</v>
      </c>
      <c r="O279" s="11" t="s">
        <v>28</v>
      </c>
      <c r="P279" s="11" t="s">
        <v>52</v>
      </c>
      <c r="Q279" s="12" t="s">
        <v>53</v>
      </c>
    </row>
    <row r="280" customFormat="false" ht="32.8" hidden="false" customHeight="false" outlineLevel="0" collapsed="false">
      <c r="A280" s="11" t="s">
        <v>1044</v>
      </c>
      <c r="B280" s="11" t="s">
        <v>14</v>
      </c>
      <c r="C280" s="11" t="s">
        <v>1042</v>
      </c>
      <c r="D280" s="12" t="s">
        <v>1045</v>
      </c>
      <c r="E280" s="12" t="s">
        <v>1046</v>
      </c>
      <c r="F280" s="12" t="s">
        <v>1047</v>
      </c>
      <c r="G280" s="11" t="s">
        <v>72</v>
      </c>
      <c r="H280" s="11" t="s">
        <v>4</v>
      </c>
      <c r="I280" s="13" t="n">
        <v>0.724137931034483</v>
      </c>
      <c r="J280" s="11" t="s">
        <v>49</v>
      </c>
      <c r="K280" s="12" t="s">
        <v>1048</v>
      </c>
      <c r="L280" s="12" t="s">
        <v>1049</v>
      </c>
      <c r="M280" s="11" t="s">
        <v>50</v>
      </c>
      <c r="N280" s="12" t="s">
        <v>51</v>
      </c>
      <c r="O280" s="11" t="s">
        <v>27</v>
      </c>
      <c r="P280" s="11" t="s">
        <v>52</v>
      </c>
      <c r="Q280" s="12"/>
    </row>
    <row r="281" customFormat="false" ht="32.8" hidden="false" customHeight="false" outlineLevel="0" collapsed="false">
      <c r="A281" s="11" t="s">
        <v>1050</v>
      </c>
      <c r="B281" s="11" t="s">
        <v>14</v>
      </c>
      <c r="C281" s="11" t="s">
        <v>1042</v>
      </c>
      <c r="D281" s="12" t="s">
        <v>1051</v>
      </c>
      <c r="E281" s="12" t="s">
        <v>1052</v>
      </c>
      <c r="F281" s="12" t="s">
        <v>1053</v>
      </c>
      <c r="G281" s="11" t="s">
        <v>59</v>
      </c>
      <c r="H281" s="11" t="s">
        <v>4</v>
      </c>
      <c r="I281" s="13" t="n">
        <v>0.8</v>
      </c>
      <c r="J281" s="11" t="s">
        <v>49</v>
      </c>
      <c r="K281" s="12" t="s">
        <v>1054</v>
      </c>
      <c r="L281" s="12" t="s">
        <v>1055</v>
      </c>
      <c r="M281" s="11" t="s">
        <v>50</v>
      </c>
      <c r="N281" s="12" t="s">
        <v>51</v>
      </c>
      <c r="O281" s="11" t="s">
        <v>27</v>
      </c>
      <c r="P281" s="11" t="s">
        <v>52</v>
      </c>
      <c r="Q281" s="12"/>
    </row>
    <row r="282" customFormat="false" ht="22.35" hidden="false" customHeight="false" outlineLevel="0" collapsed="false">
      <c r="A282" s="11" t="s">
        <v>1056</v>
      </c>
      <c r="B282" s="11" t="s">
        <v>14</v>
      </c>
      <c r="C282" s="11" t="s">
        <v>1042</v>
      </c>
      <c r="D282" s="12" t="s">
        <v>1057</v>
      </c>
      <c r="E282" s="12" t="s">
        <v>1058</v>
      </c>
      <c r="F282" s="12" t="s">
        <v>1057</v>
      </c>
      <c r="G282" s="11" t="s">
        <v>48</v>
      </c>
      <c r="H282" s="11" t="s">
        <v>9</v>
      </c>
      <c r="I282" s="13"/>
      <c r="J282" s="11" t="s">
        <v>49</v>
      </c>
      <c r="K282" s="12" t="s">
        <v>1028</v>
      </c>
      <c r="L282" s="12"/>
      <c r="M282" s="11" t="s">
        <v>50</v>
      </c>
      <c r="N282" s="12" t="s">
        <v>51</v>
      </c>
      <c r="O282" s="11" t="s">
        <v>28</v>
      </c>
      <c r="P282" s="11" t="s">
        <v>52</v>
      </c>
      <c r="Q282" s="12" t="s">
        <v>53</v>
      </c>
    </row>
    <row r="283" customFormat="false" ht="22.35" hidden="false" customHeight="false" outlineLevel="0" collapsed="false">
      <c r="A283" s="11" t="s">
        <v>1059</v>
      </c>
      <c r="B283" s="11" t="s">
        <v>14</v>
      </c>
      <c r="C283" s="11" t="s">
        <v>1042</v>
      </c>
      <c r="D283" s="12" t="s">
        <v>1060</v>
      </c>
      <c r="E283" s="12" t="s">
        <v>1061</v>
      </c>
      <c r="F283" s="12" t="s">
        <v>1060</v>
      </c>
      <c r="G283" s="11" t="s">
        <v>72</v>
      </c>
      <c r="H283" s="11" t="s">
        <v>4</v>
      </c>
      <c r="I283" s="13"/>
      <c r="J283" s="11" t="s">
        <v>49</v>
      </c>
      <c r="K283" s="12" t="s">
        <v>1062</v>
      </c>
      <c r="L283" s="12"/>
      <c r="M283" s="11" t="s">
        <v>50</v>
      </c>
      <c r="N283" s="12" t="s">
        <v>51</v>
      </c>
      <c r="O283" s="11" t="s">
        <v>27</v>
      </c>
      <c r="P283" s="11" t="s">
        <v>52</v>
      </c>
      <c r="Q283" s="12" t="s">
        <v>210</v>
      </c>
    </row>
    <row r="284" customFormat="false" ht="22.35" hidden="false" customHeight="false" outlineLevel="0" collapsed="false">
      <c r="A284" s="11" t="s">
        <v>1063</v>
      </c>
      <c r="B284" s="11" t="s">
        <v>14</v>
      </c>
      <c r="C284" s="11" t="s">
        <v>1042</v>
      </c>
      <c r="D284" s="12" t="s">
        <v>1064</v>
      </c>
      <c r="E284" s="12" t="s">
        <v>1065</v>
      </c>
      <c r="F284" s="12" t="s">
        <v>1064</v>
      </c>
      <c r="G284" s="11" t="s">
        <v>48</v>
      </c>
      <c r="H284" s="11" t="s">
        <v>9</v>
      </c>
      <c r="I284" s="13"/>
      <c r="J284" s="11" t="s">
        <v>49</v>
      </c>
      <c r="K284" s="12" t="s">
        <v>1028</v>
      </c>
      <c r="L284" s="12"/>
      <c r="M284" s="11" t="s">
        <v>50</v>
      </c>
      <c r="N284" s="12" t="s">
        <v>51</v>
      </c>
      <c r="O284" s="11" t="s">
        <v>28</v>
      </c>
      <c r="P284" s="11" t="s">
        <v>52</v>
      </c>
      <c r="Q284" s="12" t="s">
        <v>53</v>
      </c>
    </row>
    <row r="285" customFormat="false" ht="22.35" hidden="false" customHeight="false" outlineLevel="0" collapsed="false">
      <c r="A285" s="11" t="s">
        <v>1066</v>
      </c>
      <c r="B285" s="11" t="s">
        <v>14</v>
      </c>
      <c r="C285" s="11" t="s">
        <v>1042</v>
      </c>
      <c r="D285" s="12" t="s">
        <v>1067</v>
      </c>
      <c r="E285" s="12" t="s">
        <v>1068</v>
      </c>
      <c r="F285" s="12" t="s">
        <v>1067</v>
      </c>
      <c r="G285" s="11" t="s">
        <v>72</v>
      </c>
      <c r="H285" s="11" t="s">
        <v>4</v>
      </c>
      <c r="I285" s="13"/>
      <c r="J285" s="11" t="s">
        <v>49</v>
      </c>
      <c r="K285" s="12" t="s">
        <v>1062</v>
      </c>
      <c r="L285" s="12"/>
      <c r="M285" s="11" t="s">
        <v>50</v>
      </c>
      <c r="N285" s="12" t="s">
        <v>51</v>
      </c>
      <c r="O285" s="11" t="s">
        <v>27</v>
      </c>
      <c r="P285" s="11" t="s">
        <v>52</v>
      </c>
      <c r="Q285" s="12" t="s">
        <v>210</v>
      </c>
    </row>
    <row r="286" customFormat="false" ht="22.35" hidden="false" customHeight="false" outlineLevel="0" collapsed="false">
      <c r="A286" s="11" t="s">
        <v>1069</v>
      </c>
      <c r="B286" s="11" t="s">
        <v>14</v>
      </c>
      <c r="C286" s="11" t="s">
        <v>1042</v>
      </c>
      <c r="D286" s="12" t="s">
        <v>1070</v>
      </c>
      <c r="E286" s="12" t="s">
        <v>1071</v>
      </c>
      <c r="F286" s="12" t="s">
        <v>1070</v>
      </c>
      <c r="G286" s="11" t="s">
        <v>48</v>
      </c>
      <c r="H286" s="11" t="s">
        <v>9</v>
      </c>
      <c r="I286" s="13"/>
      <c r="J286" s="11" t="s">
        <v>49</v>
      </c>
      <c r="K286" s="12" t="s">
        <v>1028</v>
      </c>
      <c r="L286" s="12"/>
      <c r="M286" s="11" t="s">
        <v>50</v>
      </c>
      <c r="N286" s="12" t="s">
        <v>51</v>
      </c>
      <c r="O286" s="11" t="s">
        <v>28</v>
      </c>
      <c r="P286" s="11" t="s">
        <v>52</v>
      </c>
      <c r="Q286" s="12" t="s">
        <v>53</v>
      </c>
    </row>
    <row r="287" customFormat="false" ht="22.35" hidden="false" customHeight="false" outlineLevel="0" collapsed="false">
      <c r="A287" s="11" t="s">
        <v>1072</v>
      </c>
      <c r="B287" s="11" t="s">
        <v>14</v>
      </c>
      <c r="C287" s="11" t="s">
        <v>1042</v>
      </c>
      <c r="D287" s="12" t="s">
        <v>1073</v>
      </c>
      <c r="E287" s="12" t="s">
        <v>1074</v>
      </c>
      <c r="F287" s="12" t="s">
        <v>1073</v>
      </c>
      <c r="G287" s="11" t="s">
        <v>72</v>
      </c>
      <c r="H287" s="11" t="s">
        <v>4</v>
      </c>
      <c r="I287" s="13"/>
      <c r="J287" s="11" t="s">
        <v>49</v>
      </c>
      <c r="K287" s="12" t="s">
        <v>1075</v>
      </c>
      <c r="L287" s="12" t="s">
        <v>1076</v>
      </c>
      <c r="M287" s="11" t="s">
        <v>50</v>
      </c>
      <c r="N287" s="12" t="s">
        <v>51</v>
      </c>
      <c r="O287" s="11" t="s">
        <v>27</v>
      </c>
      <c r="P287" s="11" t="s">
        <v>52</v>
      </c>
      <c r="Q287" s="12" t="s">
        <v>210</v>
      </c>
    </row>
    <row r="288" customFormat="false" ht="15" hidden="false" customHeight="false" outlineLevel="0" collapsed="false">
      <c r="A288" s="11" t="s">
        <v>1077</v>
      </c>
      <c r="B288" s="11" t="s">
        <v>14</v>
      </c>
      <c r="C288" s="11" t="s">
        <v>1042</v>
      </c>
      <c r="D288" s="12" t="s">
        <v>102</v>
      </c>
      <c r="E288" s="12" t="s">
        <v>1078</v>
      </c>
      <c r="F288" s="12" t="s">
        <v>102</v>
      </c>
      <c r="G288" s="11" t="s">
        <v>48</v>
      </c>
      <c r="H288" s="11" t="s">
        <v>9</v>
      </c>
      <c r="I288" s="13"/>
      <c r="J288" s="11" t="s">
        <v>49</v>
      </c>
      <c r="K288" s="12" t="s">
        <v>1028</v>
      </c>
      <c r="L288" s="12"/>
      <c r="M288" s="11" t="s">
        <v>50</v>
      </c>
      <c r="N288" s="12" t="s">
        <v>51</v>
      </c>
      <c r="O288" s="11" t="s">
        <v>28</v>
      </c>
      <c r="P288" s="11" t="s">
        <v>52</v>
      </c>
      <c r="Q288" s="12" t="s">
        <v>53</v>
      </c>
    </row>
    <row r="289" customFormat="false" ht="15" hidden="false" customHeight="false" outlineLevel="0" collapsed="false">
      <c r="A289" s="11" t="s">
        <v>1079</v>
      </c>
      <c r="B289" s="11" t="s">
        <v>14</v>
      </c>
      <c r="C289" s="11" t="s">
        <v>1042</v>
      </c>
      <c r="D289" s="12" t="s">
        <v>116</v>
      </c>
      <c r="E289" s="12" t="s">
        <v>1080</v>
      </c>
      <c r="F289" s="12" t="s">
        <v>116</v>
      </c>
      <c r="G289" s="11" t="s">
        <v>48</v>
      </c>
      <c r="H289" s="11" t="s">
        <v>9</v>
      </c>
      <c r="I289" s="13"/>
      <c r="J289" s="11" t="s">
        <v>49</v>
      </c>
      <c r="K289" s="12" t="s">
        <v>1028</v>
      </c>
      <c r="L289" s="12"/>
      <c r="M289" s="11" t="s">
        <v>50</v>
      </c>
      <c r="N289" s="12" t="s">
        <v>51</v>
      </c>
      <c r="O289" s="11" t="s">
        <v>28</v>
      </c>
      <c r="P289" s="11" t="s">
        <v>52</v>
      </c>
      <c r="Q289" s="12" t="s">
        <v>53</v>
      </c>
    </row>
    <row r="290" customFormat="false" ht="22.35" hidden="false" customHeight="false" outlineLevel="0" collapsed="false">
      <c r="A290" s="11" t="s">
        <v>1081</v>
      </c>
      <c r="B290" s="11" t="s">
        <v>14</v>
      </c>
      <c r="C290" s="11" t="s">
        <v>1042</v>
      </c>
      <c r="D290" s="12" t="s">
        <v>62</v>
      </c>
      <c r="E290" s="12" t="s">
        <v>1082</v>
      </c>
      <c r="F290" s="12" t="s">
        <v>62</v>
      </c>
      <c r="G290" s="11" t="s">
        <v>48</v>
      </c>
      <c r="H290" s="11" t="s">
        <v>9</v>
      </c>
      <c r="I290" s="13"/>
      <c r="J290" s="11" t="s">
        <v>49</v>
      </c>
      <c r="K290" s="12" t="s">
        <v>1083</v>
      </c>
      <c r="L290" s="12"/>
      <c r="M290" s="11" t="s">
        <v>50</v>
      </c>
      <c r="N290" s="12" t="s">
        <v>51</v>
      </c>
      <c r="O290" s="11" t="s">
        <v>28</v>
      </c>
      <c r="P290" s="11" t="s">
        <v>52</v>
      </c>
      <c r="Q290" s="12" t="s">
        <v>53</v>
      </c>
    </row>
    <row r="291" customFormat="false" ht="22.35" hidden="false" customHeight="false" outlineLevel="0" collapsed="false">
      <c r="A291" s="11" t="s">
        <v>1084</v>
      </c>
      <c r="B291" s="11" t="s">
        <v>14</v>
      </c>
      <c r="C291" s="11" t="s">
        <v>1042</v>
      </c>
      <c r="D291" s="12" t="s">
        <v>1085</v>
      </c>
      <c r="E291" s="12" t="s">
        <v>1086</v>
      </c>
      <c r="F291" s="12" t="s">
        <v>1087</v>
      </c>
      <c r="G291" s="11" t="s">
        <v>59</v>
      </c>
      <c r="H291" s="11" t="s">
        <v>4</v>
      </c>
      <c r="I291" s="13" t="n">
        <v>0.941176470588235</v>
      </c>
      <c r="J291" s="11" t="s">
        <v>49</v>
      </c>
      <c r="K291" s="12" t="s">
        <v>1088</v>
      </c>
      <c r="L291" s="12" t="s">
        <v>1089</v>
      </c>
      <c r="M291" s="11" t="s">
        <v>50</v>
      </c>
      <c r="N291" s="12" t="s">
        <v>51</v>
      </c>
      <c r="O291" s="11" t="s">
        <v>27</v>
      </c>
      <c r="P291" s="11" t="s">
        <v>52</v>
      </c>
      <c r="Q291" s="12"/>
    </row>
    <row r="292" customFormat="false" ht="53.7" hidden="false" customHeight="false" outlineLevel="0" collapsed="false">
      <c r="A292" s="11" t="s">
        <v>1090</v>
      </c>
      <c r="B292" s="11" t="s">
        <v>14</v>
      </c>
      <c r="C292" s="11" t="s">
        <v>1042</v>
      </c>
      <c r="D292" s="12" t="s">
        <v>1091</v>
      </c>
      <c r="E292" s="12" t="s">
        <v>1092</v>
      </c>
      <c r="F292" s="12" t="s">
        <v>1093</v>
      </c>
      <c r="G292" s="11" t="s">
        <v>72</v>
      </c>
      <c r="H292" s="11" t="s">
        <v>4</v>
      </c>
      <c r="I292" s="13" t="n">
        <v>0.65</v>
      </c>
      <c r="J292" s="11" t="s">
        <v>49</v>
      </c>
      <c r="K292" s="12" t="s">
        <v>1094</v>
      </c>
      <c r="L292" s="12" t="s">
        <v>1095</v>
      </c>
      <c r="M292" s="11" t="s">
        <v>50</v>
      </c>
      <c r="N292" s="12" t="s">
        <v>51</v>
      </c>
      <c r="O292" s="11" t="s">
        <v>27</v>
      </c>
      <c r="P292" s="11" t="s">
        <v>52</v>
      </c>
      <c r="Q292" s="12"/>
    </row>
    <row r="293" customFormat="false" ht="43.25" hidden="false" customHeight="false" outlineLevel="0" collapsed="false">
      <c r="A293" s="11" t="s">
        <v>1096</v>
      </c>
      <c r="B293" s="11" t="s">
        <v>14</v>
      </c>
      <c r="C293" s="11" t="s">
        <v>1042</v>
      </c>
      <c r="D293" s="12" t="s">
        <v>1097</v>
      </c>
      <c r="E293" s="12" t="s">
        <v>1098</v>
      </c>
      <c r="F293" s="12" t="s">
        <v>1099</v>
      </c>
      <c r="G293" s="11" t="s">
        <v>72</v>
      </c>
      <c r="H293" s="11" t="s">
        <v>4</v>
      </c>
      <c r="I293" s="13" t="n">
        <v>0.55</v>
      </c>
      <c r="J293" s="11" t="s">
        <v>49</v>
      </c>
      <c r="K293" s="12" t="s">
        <v>1100</v>
      </c>
      <c r="L293" s="12" t="s">
        <v>1101</v>
      </c>
      <c r="M293" s="11" t="s">
        <v>50</v>
      </c>
      <c r="N293" s="12" t="s">
        <v>51</v>
      </c>
      <c r="O293" s="11" t="s">
        <v>27</v>
      </c>
      <c r="P293" s="11" t="s">
        <v>52</v>
      </c>
      <c r="Q293" s="12"/>
    </row>
    <row r="294" customFormat="false" ht="43.25" hidden="false" customHeight="false" outlineLevel="0" collapsed="false">
      <c r="A294" s="11" t="s">
        <v>1102</v>
      </c>
      <c r="B294" s="11" t="s">
        <v>14</v>
      </c>
      <c r="C294" s="11" t="s">
        <v>1042</v>
      </c>
      <c r="D294" s="12" t="s">
        <v>1103</v>
      </c>
      <c r="E294" s="12" t="s">
        <v>1104</v>
      </c>
      <c r="F294" s="12" t="s">
        <v>1105</v>
      </c>
      <c r="G294" s="11" t="s">
        <v>72</v>
      </c>
      <c r="H294" s="11" t="s">
        <v>4</v>
      </c>
      <c r="I294" s="13" t="n">
        <v>0.625</v>
      </c>
      <c r="J294" s="11" t="s">
        <v>49</v>
      </c>
      <c r="K294" s="12" t="s">
        <v>1106</v>
      </c>
      <c r="L294" s="12" t="s">
        <v>1107</v>
      </c>
      <c r="M294" s="11" t="s">
        <v>50</v>
      </c>
      <c r="N294" s="12" t="s">
        <v>51</v>
      </c>
      <c r="O294" s="11" t="s">
        <v>27</v>
      </c>
      <c r="P294" s="11" t="s">
        <v>52</v>
      </c>
      <c r="Q294" s="12"/>
    </row>
    <row r="295" customFormat="false" ht="53.7" hidden="false" customHeight="false" outlineLevel="0" collapsed="false">
      <c r="A295" s="11" t="s">
        <v>1108</v>
      </c>
      <c r="B295" s="11" t="s">
        <v>14</v>
      </c>
      <c r="C295" s="11" t="s">
        <v>1042</v>
      </c>
      <c r="D295" s="12" t="s">
        <v>1109</v>
      </c>
      <c r="E295" s="12" t="s">
        <v>1110</v>
      </c>
      <c r="F295" s="12" t="s">
        <v>1111</v>
      </c>
      <c r="G295" s="11" t="s">
        <v>72</v>
      </c>
      <c r="H295" s="11" t="s">
        <v>4</v>
      </c>
      <c r="I295" s="13" t="n">
        <v>0.5</v>
      </c>
      <c r="J295" s="11" t="s">
        <v>49</v>
      </c>
      <c r="K295" s="12" t="s">
        <v>1112</v>
      </c>
      <c r="L295" s="12" t="s">
        <v>1113</v>
      </c>
      <c r="M295" s="11" t="s">
        <v>50</v>
      </c>
      <c r="N295" s="12" t="s">
        <v>51</v>
      </c>
      <c r="O295" s="11" t="s">
        <v>27</v>
      </c>
      <c r="P295" s="11" t="s">
        <v>52</v>
      </c>
      <c r="Q295" s="12"/>
    </row>
    <row r="296" customFormat="false" ht="43.25" hidden="false" customHeight="false" outlineLevel="0" collapsed="false">
      <c r="A296" s="11" t="s">
        <v>1114</v>
      </c>
      <c r="B296" s="11" t="s">
        <v>14</v>
      </c>
      <c r="C296" s="11" t="s">
        <v>1042</v>
      </c>
      <c r="D296" s="12" t="s">
        <v>1115</v>
      </c>
      <c r="E296" s="12" t="s">
        <v>1116</v>
      </c>
      <c r="F296" s="12" t="s">
        <v>1117</v>
      </c>
      <c r="G296" s="11" t="s">
        <v>72</v>
      </c>
      <c r="H296" s="11" t="s">
        <v>4</v>
      </c>
      <c r="I296" s="13" t="n">
        <v>0.425</v>
      </c>
      <c r="J296" s="11" t="s">
        <v>49</v>
      </c>
      <c r="K296" s="12" t="s">
        <v>1118</v>
      </c>
      <c r="L296" s="12" t="s">
        <v>1119</v>
      </c>
      <c r="M296" s="11" t="s">
        <v>50</v>
      </c>
      <c r="N296" s="12" t="s">
        <v>51</v>
      </c>
      <c r="O296" s="11" t="s">
        <v>27</v>
      </c>
      <c r="P296" s="11" t="s">
        <v>52</v>
      </c>
      <c r="Q296" s="12"/>
    </row>
    <row r="297" customFormat="false" ht="22.35" hidden="false" customHeight="false" outlineLevel="0" collapsed="false">
      <c r="A297" s="11" t="s">
        <v>1120</v>
      </c>
      <c r="B297" s="11" t="s">
        <v>14</v>
      </c>
      <c r="C297" s="11" t="s">
        <v>1042</v>
      </c>
      <c r="D297" s="12" t="s">
        <v>74</v>
      </c>
      <c r="E297" s="12" t="s">
        <v>1121</v>
      </c>
      <c r="F297" s="12" t="s">
        <v>1117</v>
      </c>
      <c r="G297" s="11" t="s">
        <v>59</v>
      </c>
      <c r="H297" s="11" t="s">
        <v>4</v>
      </c>
      <c r="I297" s="13" t="n">
        <v>0.75</v>
      </c>
      <c r="J297" s="11" t="s">
        <v>49</v>
      </c>
      <c r="K297" s="12" t="s">
        <v>1122</v>
      </c>
      <c r="L297" s="12" t="s">
        <v>1123</v>
      </c>
      <c r="M297" s="11" t="s">
        <v>50</v>
      </c>
      <c r="N297" s="12" t="s">
        <v>51</v>
      </c>
      <c r="O297" s="11" t="s">
        <v>27</v>
      </c>
      <c r="P297" s="11" t="s">
        <v>52</v>
      </c>
      <c r="Q297" s="12"/>
    </row>
    <row r="298" customFormat="false" ht="22.35" hidden="false" customHeight="false" outlineLevel="0" collapsed="false">
      <c r="A298" s="11" t="s">
        <v>1124</v>
      </c>
      <c r="B298" s="11" t="s">
        <v>14</v>
      </c>
      <c r="C298" s="11" t="s">
        <v>1042</v>
      </c>
      <c r="D298" s="12" t="s">
        <v>102</v>
      </c>
      <c r="E298" s="12" t="s">
        <v>1125</v>
      </c>
      <c r="F298" s="12" t="s">
        <v>102</v>
      </c>
      <c r="G298" s="11" t="s">
        <v>48</v>
      </c>
      <c r="H298" s="11" t="s">
        <v>9</v>
      </c>
      <c r="I298" s="13"/>
      <c r="J298" s="11" t="s">
        <v>49</v>
      </c>
      <c r="K298" s="12" t="s">
        <v>1083</v>
      </c>
      <c r="L298" s="12"/>
      <c r="M298" s="11" t="s">
        <v>50</v>
      </c>
      <c r="N298" s="12" t="s">
        <v>51</v>
      </c>
      <c r="O298" s="11" t="s">
        <v>28</v>
      </c>
      <c r="P298" s="11" t="s">
        <v>52</v>
      </c>
      <c r="Q298" s="12" t="s">
        <v>53</v>
      </c>
    </row>
    <row r="299" customFormat="false" ht="22.35" hidden="false" customHeight="false" outlineLevel="0" collapsed="false">
      <c r="A299" s="11" t="s">
        <v>1126</v>
      </c>
      <c r="B299" s="11" t="s">
        <v>14</v>
      </c>
      <c r="C299" s="11" t="s">
        <v>1042</v>
      </c>
      <c r="D299" s="12" t="s">
        <v>1127</v>
      </c>
      <c r="E299" s="12" t="s">
        <v>1128</v>
      </c>
      <c r="F299" s="12" t="s">
        <v>1127</v>
      </c>
      <c r="G299" s="11" t="s">
        <v>59</v>
      </c>
      <c r="H299" s="11" t="s">
        <v>4</v>
      </c>
      <c r="I299" s="13" t="n">
        <v>0.785714285714286</v>
      </c>
      <c r="J299" s="11" t="s">
        <v>49</v>
      </c>
      <c r="K299" s="12" t="s">
        <v>1129</v>
      </c>
      <c r="L299" s="12" t="s">
        <v>1130</v>
      </c>
      <c r="M299" s="11" t="s">
        <v>50</v>
      </c>
      <c r="N299" s="12" t="s">
        <v>51</v>
      </c>
      <c r="O299" s="11" t="s">
        <v>27</v>
      </c>
      <c r="P299" s="11" t="s">
        <v>52</v>
      </c>
      <c r="Q299" s="12"/>
    </row>
    <row r="300" customFormat="false" ht="15" hidden="false" customHeight="false" outlineLevel="0" collapsed="false">
      <c r="A300" s="11" t="s">
        <v>1131</v>
      </c>
      <c r="B300" s="11" t="s">
        <v>14</v>
      </c>
      <c r="C300" s="11" t="s">
        <v>1042</v>
      </c>
      <c r="D300" s="12" t="s">
        <v>116</v>
      </c>
      <c r="E300" s="12" t="s">
        <v>1132</v>
      </c>
      <c r="F300" s="12" t="s">
        <v>116</v>
      </c>
      <c r="G300" s="11" t="s">
        <v>48</v>
      </c>
      <c r="H300" s="11" t="s">
        <v>9</v>
      </c>
      <c r="I300" s="13"/>
      <c r="J300" s="11" t="s">
        <v>49</v>
      </c>
      <c r="K300" s="12" t="s">
        <v>1083</v>
      </c>
      <c r="L300" s="12"/>
      <c r="M300" s="11" t="s">
        <v>50</v>
      </c>
      <c r="N300" s="12" t="s">
        <v>51</v>
      </c>
      <c r="O300" s="11" t="s">
        <v>28</v>
      </c>
      <c r="P300" s="11" t="s">
        <v>52</v>
      </c>
      <c r="Q300" s="12" t="s">
        <v>53</v>
      </c>
    </row>
    <row r="301" customFormat="false" ht="15" hidden="false" customHeight="false" outlineLevel="0" collapsed="false">
      <c r="A301" s="11" t="s">
        <v>1133</v>
      </c>
      <c r="B301" s="11" t="s">
        <v>14</v>
      </c>
      <c r="C301" s="11" t="s">
        <v>1042</v>
      </c>
      <c r="D301" s="12" t="s">
        <v>1134</v>
      </c>
      <c r="E301" s="12" t="s">
        <v>1135</v>
      </c>
      <c r="F301" s="12" t="s">
        <v>1134</v>
      </c>
      <c r="G301" s="11" t="s">
        <v>48</v>
      </c>
      <c r="H301" s="11" t="s">
        <v>9</v>
      </c>
      <c r="I301" s="13"/>
      <c r="J301" s="11" t="s">
        <v>49</v>
      </c>
      <c r="K301" s="12"/>
      <c r="L301" s="12"/>
      <c r="M301" s="11" t="s">
        <v>50</v>
      </c>
      <c r="N301" s="12" t="s">
        <v>51</v>
      </c>
      <c r="O301" s="11" t="s">
        <v>28</v>
      </c>
      <c r="P301" s="11" t="s">
        <v>52</v>
      </c>
      <c r="Q301" s="12" t="s">
        <v>53</v>
      </c>
    </row>
    <row r="302" customFormat="false" ht="22.35" hidden="false" customHeight="false" outlineLevel="0" collapsed="false">
      <c r="A302" s="11" t="s">
        <v>1136</v>
      </c>
      <c r="B302" s="11" t="s">
        <v>14</v>
      </c>
      <c r="C302" s="11" t="s">
        <v>1042</v>
      </c>
      <c r="D302" s="12" t="s">
        <v>1137</v>
      </c>
      <c r="E302" s="12" t="s">
        <v>1138</v>
      </c>
      <c r="F302" s="12" t="s">
        <v>1137</v>
      </c>
      <c r="G302" s="11" t="s">
        <v>48</v>
      </c>
      <c r="H302" s="11" t="s">
        <v>9</v>
      </c>
      <c r="I302" s="13"/>
      <c r="J302" s="11" t="s">
        <v>49</v>
      </c>
      <c r="K302" s="12" t="s">
        <v>1139</v>
      </c>
      <c r="L302" s="12"/>
      <c r="M302" s="11" t="s">
        <v>50</v>
      </c>
      <c r="N302" s="12" t="s">
        <v>51</v>
      </c>
      <c r="O302" s="11" t="s">
        <v>28</v>
      </c>
      <c r="P302" s="11" t="s">
        <v>52</v>
      </c>
      <c r="Q302" s="12" t="s">
        <v>53</v>
      </c>
    </row>
    <row r="303" customFormat="false" ht="22.35" hidden="false" customHeight="false" outlineLevel="0" collapsed="false">
      <c r="A303" s="11" t="s">
        <v>1140</v>
      </c>
      <c r="B303" s="11" t="s">
        <v>14</v>
      </c>
      <c r="C303" s="11" t="s">
        <v>1042</v>
      </c>
      <c r="D303" s="12" t="s">
        <v>447</v>
      </c>
      <c r="E303" s="12" t="s">
        <v>1141</v>
      </c>
      <c r="F303" s="12" t="s">
        <v>1142</v>
      </c>
      <c r="G303" s="11" t="s">
        <v>72</v>
      </c>
      <c r="H303" s="11" t="s">
        <v>4</v>
      </c>
      <c r="I303" s="13"/>
      <c r="J303" s="11" t="s">
        <v>49</v>
      </c>
      <c r="K303" s="12" t="s">
        <v>1139</v>
      </c>
      <c r="L303" s="12"/>
      <c r="M303" s="11" t="s">
        <v>50</v>
      </c>
      <c r="N303" s="12" t="s">
        <v>51</v>
      </c>
      <c r="O303" s="11" t="s">
        <v>27</v>
      </c>
      <c r="P303" s="11" t="s">
        <v>52</v>
      </c>
      <c r="Q303" s="12" t="s">
        <v>210</v>
      </c>
    </row>
    <row r="304" customFormat="false" ht="22.35" hidden="false" customHeight="false" outlineLevel="0" collapsed="false">
      <c r="A304" s="11" t="s">
        <v>1143</v>
      </c>
      <c r="B304" s="11" t="s">
        <v>14</v>
      </c>
      <c r="C304" s="11" t="s">
        <v>1042</v>
      </c>
      <c r="D304" s="12" t="s">
        <v>1144</v>
      </c>
      <c r="E304" s="12" t="s">
        <v>1145</v>
      </c>
      <c r="F304" s="12" t="s">
        <v>1144</v>
      </c>
      <c r="G304" s="11" t="s">
        <v>72</v>
      </c>
      <c r="H304" s="11" t="s">
        <v>4</v>
      </c>
      <c r="I304" s="13"/>
      <c r="J304" s="11" t="s">
        <v>49</v>
      </c>
      <c r="K304" s="12" t="s">
        <v>1139</v>
      </c>
      <c r="L304" s="12"/>
      <c r="M304" s="11" t="s">
        <v>50</v>
      </c>
      <c r="N304" s="12" t="s">
        <v>51</v>
      </c>
      <c r="O304" s="11" t="s">
        <v>27</v>
      </c>
      <c r="P304" s="11" t="s">
        <v>52</v>
      </c>
      <c r="Q304" s="12" t="s">
        <v>210</v>
      </c>
    </row>
    <row r="305" customFormat="false" ht="15" hidden="false" customHeight="false" outlineLevel="0" collapsed="false">
      <c r="A305" s="11" t="s">
        <v>1146</v>
      </c>
      <c r="B305" s="11" t="s">
        <v>14</v>
      </c>
      <c r="C305" s="11" t="s">
        <v>1042</v>
      </c>
      <c r="D305" s="12" t="s">
        <v>62</v>
      </c>
      <c r="E305" s="12" t="s">
        <v>1147</v>
      </c>
      <c r="F305" s="12" t="s">
        <v>62</v>
      </c>
      <c r="G305" s="11" t="s">
        <v>48</v>
      </c>
      <c r="H305" s="11" t="s">
        <v>9</v>
      </c>
      <c r="I305" s="13"/>
      <c r="J305" s="11" t="s">
        <v>49</v>
      </c>
      <c r="K305" s="12" t="s">
        <v>1139</v>
      </c>
      <c r="L305" s="12"/>
      <c r="M305" s="11" t="s">
        <v>50</v>
      </c>
      <c r="N305" s="12" t="s">
        <v>51</v>
      </c>
      <c r="O305" s="11" t="s">
        <v>28</v>
      </c>
      <c r="P305" s="11" t="s">
        <v>52</v>
      </c>
      <c r="Q305" s="12" t="s">
        <v>53</v>
      </c>
    </row>
    <row r="306" customFormat="false" ht="32.8" hidden="false" customHeight="false" outlineLevel="0" collapsed="false">
      <c r="A306" s="11" t="s">
        <v>1148</v>
      </c>
      <c r="B306" s="11" t="s">
        <v>14</v>
      </c>
      <c r="C306" s="11" t="s">
        <v>1042</v>
      </c>
      <c r="D306" s="12" t="s">
        <v>1149</v>
      </c>
      <c r="E306" s="12" t="s">
        <v>1150</v>
      </c>
      <c r="F306" s="12" t="s">
        <v>1151</v>
      </c>
      <c r="G306" s="11" t="s">
        <v>72</v>
      </c>
      <c r="H306" s="11" t="s">
        <v>4</v>
      </c>
      <c r="I306" s="13" t="n">
        <v>0.709677419354839</v>
      </c>
      <c r="J306" s="11" t="s">
        <v>49</v>
      </c>
      <c r="K306" s="12" t="s">
        <v>1152</v>
      </c>
      <c r="L306" s="12" t="s">
        <v>1153</v>
      </c>
      <c r="M306" s="11" t="s">
        <v>50</v>
      </c>
      <c r="N306" s="12" t="s">
        <v>51</v>
      </c>
      <c r="O306" s="11" t="s">
        <v>27</v>
      </c>
      <c r="P306" s="11" t="s">
        <v>52</v>
      </c>
      <c r="Q306" s="12"/>
    </row>
    <row r="307" customFormat="false" ht="15" hidden="false" customHeight="false" outlineLevel="0" collapsed="false">
      <c r="A307" s="11" t="s">
        <v>1154</v>
      </c>
      <c r="B307" s="11" t="s">
        <v>14</v>
      </c>
      <c r="C307" s="11" t="s">
        <v>1042</v>
      </c>
      <c r="D307" s="12" t="s">
        <v>1155</v>
      </c>
      <c r="E307" s="12" t="s">
        <v>1156</v>
      </c>
      <c r="F307" s="12" t="s">
        <v>1157</v>
      </c>
      <c r="G307" s="11" t="s">
        <v>72</v>
      </c>
      <c r="H307" s="11" t="s">
        <v>4</v>
      </c>
      <c r="I307" s="13"/>
      <c r="J307" s="11" t="s">
        <v>49</v>
      </c>
      <c r="K307" s="12" t="s">
        <v>1139</v>
      </c>
      <c r="L307" s="12"/>
      <c r="M307" s="11" t="s">
        <v>50</v>
      </c>
      <c r="N307" s="12" t="s">
        <v>51</v>
      </c>
      <c r="O307" s="11" t="s">
        <v>27</v>
      </c>
      <c r="P307" s="11" t="s">
        <v>52</v>
      </c>
      <c r="Q307" s="12" t="s">
        <v>210</v>
      </c>
    </row>
    <row r="308" customFormat="false" ht="53.7" hidden="false" customHeight="false" outlineLevel="0" collapsed="false">
      <c r="A308" s="11" t="s">
        <v>1158</v>
      </c>
      <c r="B308" s="11" t="s">
        <v>14</v>
      </c>
      <c r="C308" s="11" t="s">
        <v>1042</v>
      </c>
      <c r="D308" s="12" t="s">
        <v>74</v>
      </c>
      <c r="E308" s="12" t="s">
        <v>1159</v>
      </c>
      <c r="F308" s="12" t="s">
        <v>1160</v>
      </c>
      <c r="G308" s="11" t="s">
        <v>59</v>
      </c>
      <c r="H308" s="11" t="s">
        <v>4</v>
      </c>
      <c r="I308" s="13" t="n">
        <v>0.742857142857143</v>
      </c>
      <c r="J308" s="11" t="s">
        <v>49</v>
      </c>
      <c r="K308" s="12" t="s">
        <v>1161</v>
      </c>
      <c r="L308" s="12" t="s">
        <v>1162</v>
      </c>
      <c r="M308" s="11" t="s">
        <v>50</v>
      </c>
      <c r="N308" s="12" t="s">
        <v>51</v>
      </c>
      <c r="O308" s="11" t="s">
        <v>27</v>
      </c>
      <c r="P308" s="11" t="s">
        <v>52</v>
      </c>
      <c r="Q308" s="12"/>
    </row>
    <row r="309" customFormat="false" ht="22.35" hidden="false" customHeight="false" outlineLevel="0" collapsed="false">
      <c r="A309" s="11" t="s">
        <v>1163</v>
      </c>
      <c r="B309" s="11" t="s">
        <v>14</v>
      </c>
      <c r="C309" s="11" t="s">
        <v>1042</v>
      </c>
      <c r="D309" s="12" t="s">
        <v>113</v>
      </c>
      <c r="E309" s="12" t="s">
        <v>1164</v>
      </c>
      <c r="F309" s="12" t="s">
        <v>113</v>
      </c>
      <c r="G309" s="11" t="s">
        <v>48</v>
      </c>
      <c r="H309" s="11" t="s">
        <v>9</v>
      </c>
      <c r="I309" s="13"/>
      <c r="J309" s="11" t="s">
        <v>49</v>
      </c>
      <c r="K309" s="12" t="s">
        <v>1139</v>
      </c>
      <c r="L309" s="12"/>
      <c r="M309" s="11" t="s">
        <v>50</v>
      </c>
      <c r="N309" s="12" t="s">
        <v>51</v>
      </c>
      <c r="O309" s="11" t="s">
        <v>28</v>
      </c>
      <c r="P309" s="11" t="s">
        <v>52</v>
      </c>
      <c r="Q309" s="12" t="s">
        <v>53</v>
      </c>
    </row>
    <row r="310" customFormat="false" ht="22.35" hidden="false" customHeight="false" outlineLevel="0" collapsed="false">
      <c r="A310" s="11" t="s">
        <v>1165</v>
      </c>
      <c r="B310" s="11" t="s">
        <v>14</v>
      </c>
      <c r="C310" s="11" t="s">
        <v>1042</v>
      </c>
      <c r="D310" s="12" t="s">
        <v>1166</v>
      </c>
      <c r="E310" s="12" t="s">
        <v>1167</v>
      </c>
      <c r="F310" s="12" t="s">
        <v>1168</v>
      </c>
      <c r="G310" s="11" t="s">
        <v>59</v>
      </c>
      <c r="H310" s="11" t="s">
        <v>4</v>
      </c>
      <c r="I310" s="13" t="n">
        <v>0.857142857142857</v>
      </c>
      <c r="J310" s="11" t="s">
        <v>49</v>
      </c>
      <c r="K310" s="12" t="s">
        <v>1169</v>
      </c>
      <c r="L310" s="12" t="s">
        <v>1170</v>
      </c>
      <c r="M310" s="11" t="s">
        <v>50</v>
      </c>
      <c r="N310" s="12" t="s">
        <v>51</v>
      </c>
      <c r="O310" s="11" t="s">
        <v>27</v>
      </c>
      <c r="P310" s="11" t="s">
        <v>52</v>
      </c>
      <c r="Q310" s="12"/>
    </row>
    <row r="311" customFormat="false" ht="22.35" hidden="false" customHeight="false" outlineLevel="0" collapsed="false">
      <c r="A311" s="11" t="s">
        <v>1171</v>
      </c>
      <c r="B311" s="11" t="s">
        <v>14</v>
      </c>
      <c r="C311" s="11" t="s">
        <v>1042</v>
      </c>
      <c r="D311" s="12" t="s">
        <v>1172</v>
      </c>
      <c r="E311" s="12" t="s">
        <v>1173</v>
      </c>
      <c r="F311" s="12" t="s">
        <v>1174</v>
      </c>
      <c r="G311" s="11" t="s">
        <v>72</v>
      </c>
      <c r="H311" s="11" t="s">
        <v>4</v>
      </c>
      <c r="I311" s="13" t="n">
        <v>0.75</v>
      </c>
      <c r="J311" s="11" t="s">
        <v>49</v>
      </c>
      <c r="K311" s="12" t="s">
        <v>1175</v>
      </c>
      <c r="L311" s="12" t="s">
        <v>1176</v>
      </c>
      <c r="M311" s="11" t="s">
        <v>50</v>
      </c>
      <c r="N311" s="12" t="s">
        <v>51</v>
      </c>
      <c r="O311" s="11" t="s">
        <v>27</v>
      </c>
      <c r="P311" s="11" t="s">
        <v>52</v>
      </c>
      <c r="Q311" s="12"/>
    </row>
    <row r="312" customFormat="false" ht="32.8" hidden="false" customHeight="false" outlineLevel="0" collapsed="false">
      <c r="A312" s="11" t="s">
        <v>1177</v>
      </c>
      <c r="B312" s="11" t="s">
        <v>14</v>
      </c>
      <c r="C312" s="11" t="s">
        <v>1042</v>
      </c>
      <c r="D312" s="12" t="s">
        <v>442</v>
      </c>
      <c r="E312" s="12" t="s">
        <v>1178</v>
      </c>
      <c r="F312" s="12" t="s">
        <v>442</v>
      </c>
      <c r="G312" s="11" t="s">
        <v>72</v>
      </c>
      <c r="H312" s="11" t="s">
        <v>4</v>
      </c>
      <c r="I312" s="13" t="n">
        <v>0.35</v>
      </c>
      <c r="J312" s="11" t="s">
        <v>49</v>
      </c>
      <c r="K312" s="12" t="s">
        <v>1179</v>
      </c>
      <c r="L312" s="12" t="s">
        <v>1180</v>
      </c>
      <c r="M312" s="11" t="s">
        <v>50</v>
      </c>
      <c r="N312" s="12" t="s">
        <v>51</v>
      </c>
      <c r="O312" s="11" t="s">
        <v>27</v>
      </c>
      <c r="P312" s="11" t="s">
        <v>52</v>
      </c>
      <c r="Q312" s="12"/>
    </row>
    <row r="313" customFormat="false" ht="22.35" hidden="false" customHeight="false" outlineLevel="0" collapsed="false">
      <c r="A313" s="11" t="s">
        <v>1181</v>
      </c>
      <c r="B313" s="11" t="s">
        <v>14</v>
      </c>
      <c r="C313" s="11" t="s">
        <v>1042</v>
      </c>
      <c r="D313" s="12" t="s">
        <v>113</v>
      </c>
      <c r="E313" s="12" t="s">
        <v>1182</v>
      </c>
      <c r="F313" s="12" t="s">
        <v>113</v>
      </c>
      <c r="G313" s="11" t="s">
        <v>48</v>
      </c>
      <c r="H313" s="11" t="s">
        <v>9</v>
      </c>
      <c r="I313" s="13"/>
      <c r="J313" s="11" t="s">
        <v>49</v>
      </c>
      <c r="K313" s="12" t="s">
        <v>1139</v>
      </c>
      <c r="L313" s="12"/>
      <c r="M313" s="11" t="s">
        <v>50</v>
      </c>
      <c r="N313" s="12" t="s">
        <v>51</v>
      </c>
      <c r="O313" s="11" t="s">
        <v>28</v>
      </c>
      <c r="P313" s="11" t="s">
        <v>52</v>
      </c>
      <c r="Q313" s="12" t="s">
        <v>53</v>
      </c>
    </row>
    <row r="314" customFormat="false" ht="43.25" hidden="false" customHeight="false" outlineLevel="0" collapsed="false">
      <c r="A314" s="11" t="s">
        <v>1183</v>
      </c>
      <c r="B314" s="11" t="s">
        <v>14</v>
      </c>
      <c r="C314" s="11" t="s">
        <v>1042</v>
      </c>
      <c r="D314" s="12" t="s">
        <v>1184</v>
      </c>
      <c r="E314" s="12" t="s">
        <v>1185</v>
      </c>
      <c r="F314" s="12" t="s">
        <v>1186</v>
      </c>
      <c r="G314" s="11" t="s">
        <v>72</v>
      </c>
      <c r="H314" s="11" t="s">
        <v>5</v>
      </c>
      <c r="I314" s="13" t="n">
        <v>0.125</v>
      </c>
      <c r="J314" s="11" t="s">
        <v>49</v>
      </c>
      <c r="K314" s="12" t="s">
        <v>1187</v>
      </c>
      <c r="L314" s="12" t="s">
        <v>1188</v>
      </c>
      <c r="M314" s="11" t="s">
        <v>50</v>
      </c>
      <c r="N314" s="12" t="s">
        <v>1189</v>
      </c>
      <c r="O314" s="11" t="s">
        <v>25</v>
      </c>
      <c r="P314" s="11" t="s">
        <v>52</v>
      </c>
      <c r="Q314" s="12"/>
    </row>
    <row r="315" customFormat="false" ht="43.25" hidden="false" customHeight="false" outlineLevel="0" collapsed="false">
      <c r="A315" s="11" t="s">
        <v>1190</v>
      </c>
      <c r="B315" s="11" t="s">
        <v>14</v>
      </c>
      <c r="C315" s="11" t="s">
        <v>1042</v>
      </c>
      <c r="D315" s="12" t="s">
        <v>182</v>
      </c>
      <c r="E315" s="12" t="s">
        <v>1191</v>
      </c>
      <c r="F315" s="12" t="s">
        <v>1192</v>
      </c>
      <c r="G315" s="11" t="s">
        <v>72</v>
      </c>
      <c r="H315" s="11" t="s">
        <v>5</v>
      </c>
      <c r="I315" s="13" t="n">
        <v>0.192307692307692</v>
      </c>
      <c r="J315" s="11" t="s">
        <v>49</v>
      </c>
      <c r="K315" s="12" t="s">
        <v>1187</v>
      </c>
      <c r="L315" s="12" t="s">
        <v>1193</v>
      </c>
      <c r="M315" s="11" t="s">
        <v>50</v>
      </c>
      <c r="N315" s="12" t="s">
        <v>1189</v>
      </c>
      <c r="O315" s="11" t="s">
        <v>25</v>
      </c>
      <c r="P315" s="11" t="s">
        <v>52</v>
      </c>
      <c r="Q315" s="12"/>
    </row>
    <row r="316" customFormat="false" ht="22.35" hidden="false" customHeight="false" outlineLevel="0" collapsed="false">
      <c r="A316" s="11" t="s">
        <v>1194</v>
      </c>
      <c r="B316" s="11" t="s">
        <v>14</v>
      </c>
      <c r="C316" s="11" t="s">
        <v>1042</v>
      </c>
      <c r="D316" s="12" t="s">
        <v>1195</v>
      </c>
      <c r="E316" s="12" t="s">
        <v>1196</v>
      </c>
      <c r="F316" s="12" t="s">
        <v>1195</v>
      </c>
      <c r="G316" s="11" t="s">
        <v>72</v>
      </c>
      <c r="H316" s="11" t="s">
        <v>4</v>
      </c>
      <c r="I316" s="13" t="n">
        <v>0.583333333333333</v>
      </c>
      <c r="J316" s="11" t="s">
        <v>49</v>
      </c>
      <c r="K316" s="12" t="s">
        <v>1197</v>
      </c>
      <c r="L316" s="12" t="s">
        <v>1198</v>
      </c>
      <c r="M316" s="11" t="s">
        <v>50</v>
      </c>
      <c r="N316" s="12" t="s">
        <v>51</v>
      </c>
      <c r="O316" s="11" t="s">
        <v>27</v>
      </c>
      <c r="P316" s="11" t="s">
        <v>52</v>
      </c>
      <c r="Q316" s="12"/>
    </row>
    <row r="317" customFormat="false" ht="22.35" hidden="false" customHeight="false" outlineLevel="0" collapsed="false">
      <c r="A317" s="11" t="s">
        <v>1199</v>
      </c>
      <c r="B317" s="11" t="s">
        <v>14</v>
      </c>
      <c r="C317" s="11" t="s">
        <v>1042</v>
      </c>
      <c r="D317" s="12" t="s">
        <v>113</v>
      </c>
      <c r="E317" s="12" t="s">
        <v>1200</v>
      </c>
      <c r="F317" s="12" t="s">
        <v>113</v>
      </c>
      <c r="G317" s="11" t="s">
        <v>48</v>
      </c>
      <c r="H317" s="11" t="s">
        <v>9</v>
      </c>
      <c r="I317" s="13"/>
      <c r="J317" s="11" t="s">
        <v>49</v>
      </c>
      <c r="K317" s="12" t="s">
        <v>1139</v>
      </c>
      <c r="L317" s="12"/>
      <c r="M317" s="11" t="s">
        <v>50</v>
      </c>
      <c r="N317" s="12" t="s">
        <v>51</v>
      </c>
      <c r="O317" s="11" t="s">
        <v>28</v>
      </c>
      <c r="P317" s="11" t="s">
        <v>52</v>
      </c>
      <c r="Q317" s="12" t="s">
        <v>53</v>
      </c>
    </row>
    <row r="318" customFormat="false" ht="53.7" hidden="false" customHeight="false" outlineLevel="0" collapsed="false">
      <c r="A318" s="11" t="s">
        <v>1201</v>
      </c>
      <c r="B318" s="11" t="s">
        <v>14</v>
      </c>
      <c r="C318" s="11" t="s">
        <v>1042</v>
      </c>
      <c r="D318" s="12" t="s">
        <v>1202</v>
      </c>
      <c r="E318" s="12" t="s">
        <v>1203</v>
      </c>
      <c r="F318" s="12" t="s">
        <v>1202</v>
      </c>
      <c r="G318" s="11" t="s">
        <v>72</v>
      </c>
      <c r="H318" s="11" t="s">
        <v>4</v>
      </c>
      <c r="I318" s="13" t="n">
        <v>0.46875</v>
      </c>
      <c r="J318" s="11" t="s">
        <v>49</v>
      </c>
      <c r="K318" s="12" t="s">
        <v>1204</v>
      </c>
      <c r="L318" s="12" t="s">
        <v>1205</v>
      </c>
      <c r="M318" s="11" t="s">
        <v>50</v>
      </c>
      <c r="N318" s="12" t="s">
        <v>51</v>
      </c>
      <c r="O318" s="11" t="s">
        <v>27</v>
      </c>
      <c r="P318" s="11" t="s">
        <v>52</v>
      </c>
      <c r="Q318" s="12"/>
    </row>
    <row r="319" customFormat="false" ht="22.35" hidden="false" customHeight="false" outlineLevel="0" collapsed="false">
      <c r="A319" s="11" t="s">
        <v>1206</v>
      </c>
      <c r="B319" s="11" t="s">
        <v>14</v>
      </c>
      <c r="C319" s="11" t="s">
        <v>1042</v>
      </c>
      <c r="D319" s="12" t="s">
        <v>113</v>
      </c>
      <c r="E319" s="12" t="s">
        <v>1207</v>
      </c>
      <c r="F319" s="12" t="s">
        <v>113</v>
      </c>
      <c r="G319" s="11" t="s">
        <v>48</v>
      </c>
      <c r="H319" s="11" t="s">
        <v>9</v>
      </c>
      <c r="I319" s="13"/>
      <c r="J319" s="11" t="s">
        <v>49</v>
      </c>
      <c r="K319" s="12" t="s">
        <v>1139</v>
      </c>
      <c r="L319" s="12"/>
      <c r="M319" s="11" t="s">
        <v>50</v>
      </c>
      <c r="N319" s="12" t="s">
        <v>51</v>
      </c>
      <c r="O319" s="11" t="s">
        <v>28</v>
      </c>
      <c r="P319" s="11" t="s">
        <v>52</v>
      </c>
      <c r="Q319" s="12" t="s">
        <v>53</v>
      </c>
    </row>
    <row r="320" customFormat="false" ht="32.8" hidden="false" customHeight="false" outlineLevel="0" collapsed="false">
      <c r="A320" s="11" t="s">
        <v>1208</v>
      </c>
      <c r="B320" s="11" t="s">
        <v>14</v>
      </c>
      <c r="C320" s="11" t="s">
        <v>1042</v>
      </c>
      <c r="D320" s="12" t="s">
        <v>1209</v>
      </c>
      <c r="E320" s="12" t="s">
        <v>1210</v>
      </c>
      <c r="F320" s="12" t="s">
        <v>1209</v>
      </c>
      <c r="G320" s="11" t="s">
        <v>72</v>
      </c>
      <c r="H320" s="11" t="s">
        <v>5</v>
      </c>
      <c r="I320" s="13" t="n">
        <v>0.125</v>
      </c>
      <c r="J320" s="11" t="s">
        <v>49</v>
      </c>
      <c r="K320" s="12" t="s">
        <v>1211</v>
      </c>
      <c r="L320" s="12" t="s">
        <v>1212</v>
      </c>
      <c r="M320" s="11" t="s">
        <v>50</v>
      </c>
      <c r="N320" s="12" t="s">
        <v>1189</v>
      </c>
      <c r="O320" s="11" t="s">
        <v>25</v>
      </c>
      <c r="P320" s="11" t="s">
        <v>52</v>
      </c>
      <c r="Q320" s="12"/>
    </row>
    <row r="321" customFormat="false" ht="22.35" hidden="false" customHeight="false" outlineLevel="0" collapsed="false">
      <c r="A321" s="11" t="s">
        <v>1213</v>
      </c>
      <c r="B321" s="11" t="s">
        <v>14</v>
      </c>
      <c r="C321" s="11" t="s">
        <v>1042</v>
      </c>
      <c r="D321" s="12" t="s">
        <v>113</v>
      </c>
      <c r="E321" s="12" t="s">
        <v>1214</v>
      </c>
      <c r="F321" s="12" t="s">
        <v>113</v>
      </c>
      <c r="G321" s="11" t="s">
        <v>48</v>
      </c>
      <c r="H321" s="11" t="s">
        <v>9</v>
      </c>
      <c r="I321" s="13"/>
      <c r="J321" s="11" t="s">
        <v>49</v>
      </c>
      <c r="K321" s="12" t="s">
        <v>1139</v>
      </c>
      <c r="L321" s="12"/>
      <c r="M321" s="11" t="s">
        <v>50</v>
      </c>
      <c r="N321" s="12" t="s">
        <v>51</v>
      </c>
      <c r="O321" s="11" t="s">
        <v>28</v>
      </c>
      <c r="P321" s="11" t="s">
        <v>52</v>
      </c>
      <c r="Q321" s="12" t="s">
        <v>53</v>
      </c>
    </row>
    <row r="322" customFormat="false" ht="53.7" hidden="false" customHeight="false" outlineLevel="0" collapsed="false">
      <c r="A322" s="11" t="s">
        <v>1215</v>
      </c>
      <c r="B322" s="11" t="s">
        <v>14</v>
      </c>
      <c r="C322" s="11" t="s">
        <v>1042</v>
      </c>
      <c r="D322" s="12" t="s">
        <v>1216</v>
      </c>
      <c r="E322" s="12" t="s">
        <v>1217</v>
      </c>
      <c r="F322" s="12" t="s">
        <v>1218</v>
      </c>
      <c r="G322" s="11" t="s">
        <v>72</v>
      </c>
      <c r="H322" s="11" t="s">
        <v>4</v>
      </c>
      <c r="I322" s="13" t="n">
        <v>0.44</v>
      </c>
      <c r="J322" s="11" t="s">
        <v>49</v>
      </c>
      <c r="K322" s="12" t="s">
        <v>1219</v>
      </c>
      <c r="L322" s="12" t="s">
        <v>1220</v>
      </c>
      <c r="M322" s="11" t="s">
        <v>50</v>
      </c>
      <c r="N322" s="12" t="s">
        <v>51</v>
      </c>
      <c r="O322" s="11" t="s">
        <v>27</v>
      </c>
      <c r="P322" s="11" t="s">
        <v>52</v>
      </c>
      <c r="Q322" s="12"/>
    </row>
    <row r="323" customFormat="false" ht="22.35" hidden="false" customHeight="false" outlineLevel="0" collapsed="false">
      <c r="A323" s="11" t="s">
        <v>1221</v>
      </c>
      <c r="B323" s="11" t="s">
        <v>14</v>
      </c>
      <c r="C323" s="11" t="s">
        <v>1042</v>
      </c>
      <c r="D323" s="12" t="s">
        <v>1222</v>
      </c>
      <c r="E323" s="12" t="s">
        <v>1223</v>
      </c>
      <c r="F323" s="12" t="s">
        <v>1224</v>
      </c>
      <c r="G323" s="11" t="s">
        <v>72</v>
      </c>
      <c r="H323" s="11" t="s">
        <v>5</v>
      </c>
      <c r="I323" s="13" t="n">
        <v>0.285714285714286</v>
      </c>
      <c r="J323" s="11" t="s">
        <v>49</v>
      </c>
      <c r="K323" s="12" t="s">
        <v>1225</v>
      </c>
      <c r="L323" s="12" t="s">
        <v>1226</v>
      </c>
      <c r="M323" s="11" t="s">
        <v>50</v>
      </c>
      <c r="N323" s="12" t="s">
        <v>1189</v>
      </c>
      <c r="O323" s="11" t="s">
        <v>25</v>
      </c>
      <c r="P323" s="11" t="s">
        <v>52</v>
      </c>
      <c r="Q323" s="12"/>
    </row>
    <row r="324" customFormat="false" ht="22.35" hidden="false" customHeight="false" outlineLevel="0" collapsed="false">
      <c r="A324" s="11" t="s">
        <v>1227</v>
      </c>
      <c r="B324" s="11" t="s">
        <v>14</v>
      </c>
      <c r="C324" s="11" t="s">
        <v>1042</v>
      </c>
      <c r="D324" s="12" t="s">
        <v>1228</v>
      </c>
      <c r="E324" s="12" t="s">
        <v>1229</v>
      </c>
      <c r="F324" s="12" t="s">
        <v>1230</v>
      </c>
      <c r="G324" s="11" t="s">
        <v>72</v>
      </c>
      <c r="H324" s="11" t="s">
        <v>4</v>
      </c>
      <c r="I324" s="13" t="n">
        <v>0.625</v>
      </c>
      <c r="J324" s="11" t="s">
        <v>49</v>
      </c>
      <c r="K324" s="12" t="s">
        <v>1231</v>
      </c>
      <c r="L324" s="12" t="s">
        <v>1232</v>
      </c>
      <c r="M324" s="11" t="s">
        <v>50</v>
      </c>
      <c r="N324" s="12" t="s">
        <v>51</v>
      </c>
      <c r="O324" s="11" t="s">
        <v>27</v>
      </c>
      <c r="P324" s="11" t="s">
        <v>52</v>
      </c>
      <c r="Q324" s="12"/>
    </row>
    <row r="325" customFormat="false" ht="64.15" hidden="false" customHeight="false" outlineLevel="0" collapsed="false">
      <c r="A325" s="11" t="s">
        <v>1233</v>
      </c>
      <c r="B325" s="11" t="s">
        <v>14</v>
      </c>
      <c r="C325" s="11" t="s">
        <v>1042</v>
      </c>
      <c r="D325" s="12" t="s">
        <v>1234</v>
      </c>
      <c r="E325" s="12" t="s">
        <v>1235</v>
      </c>
      <c r="F325" s="12" t="s">
        <v>1236</v>
      </c>
      <c r="G325" s="11" t="s">
        <v>59</v>
      </c>
      <c r="H325" s="11" t="s">
        <v>4</v>
      </c>
      <c r="I325" s="13" t="n">
        <v>0.464285714285714</v>
      </c>
      <c r="J325" s="11" t="s">
        <v>49</v>
      </c>
      <c r="K325" s="12" t="s">
        <v>1237</v>
      </c>
      <c r="L325" s="12" t="s">
        <v>1238</v>
      </c>
      <c r="M325" s="11" t="s">
        <v>50</v>
      </c>
      <c r="N325" s="12" t="s">
        <v>51</v>
      </c>
      <c r="O325" s="11" t="s">
        <v>27</v>
      </c>
      <c r="P325" s="11" t="s">
        <v>52</v>
      </c>
      <c r="Q325" s="12"/>
    </row>
    <row r="326" customFormat="false" ht="53.7" hidden="false" customHeight="false" outlineLevel="0" collapsed="false">
      <c r="A326" s="11" t="s">
        <v>1239</v>
      </c>
      <c r="B326" s="11" t="s">
        <v>14</v>
      </c>
      <c r="C326" s="11" t="s">
        <v>1042</v>
      </c>
      <c r="D326" s="12" t="s">
        <v>1240</v>
      </c>
      <c r="E326" s="12" t="s">
        <v>1241</v>
      </c>
      <c r="F326" s="12" t="s">
        <v>1242</v>
      </c>
      <c r="G326" s="11" t="s">
        <v>72</v>
      </c>
      <c r="H326" s="11" t="s">
        <v>5</v>
      </c>
      <c r="I326" s="13" t="n">
        <v>0.266666666666667</v>
      </c>
      <c r="J326" s="11" t="s">
        <v>49</v>
      </c>
      <c r="K326" s="12" t="s">
        <v>1243</v>
      </c>
      <c r="L326" s="12" t="s">
        <v>1244</v>
      </c>
      <c r="M326" s="11" t="s">
        <v>50</v>
      </c>
      <c r="N326" s="12" t="s">
        <v>1189</v>
      </c>
      <c r="O326" s="11" t="s">
        <v>25</v>
      </c>
      <c r="P326" s="11" t="s">
        <v>52</v>
      </c>
      <c r="Q326" s="12"/>
    </row>
    <row r="327" customFormat="false" ht="22.35" hidden="false" customHeight="false" outlineLevel="0" collapsed="false">
      <c r="A327" s="11" t="s">
        <v>1245</v>
      </c>
      <c r="B327" s="11" t="s">
        <v>14</v>
      </c>
      <c r="C327" s="11" t="s">
        <v>1042</v>
      </c>
      <c r="D327" s="12" t="s">
        <v>1246</v>
      </c>
      <c r="E327" s="12" t="s">
        <v>1247</v>
      </c>
      <c r="F327" s="12" t="s">
        <v>1248</v>
      </c>
      <c r="G327" s="11" t="s">
        <v>72</v>
      </c>
      <c r="H327" s="11" t="s">
        <v>4</v>
      </c>
      <c r="I327" s="13" t="n">
        <v>0.6</v>
      </c>
      <c r="J327" s="11" t="s">
        <v>49</v>
      </c>
      <c r="K327" s="12" t="s">
        <v>1249</v>
      </c>
      <c r="L327" s="12" t="s">
        <v>1250</v>
      </c>
      <c r="M327" s="11" t="s">
        <v>50</v>
      </c>
      <c r="N327" s="12" t="s">
        <v>51</v>
      </c>
      <c r="O327" s="11" t="s">
        <v>27</v>
      </c>
      <c r="P327" s="11" t="s">
        <v>52</v>
      </c>
      <c r="Q327" s="12"/>
    </row>
    <row r="328" customFormat="false" ht="105.95" hidden="false" customHeight="false" outlineLevel="0" collapsed="false">
      <c r="A328" s="11" t="s">
        <v>1251</v>
      </c>
      <c r="B328" s="11" t="s">
        <v>14</v>
      </c>
      <c r="C328" s="11" t="s">
        <v>1042</v>
      </c>
      <c r="D328" s="12" t="s">
        <v>1252</v>
      </c>
      <c r="E328" s="12" t="s">
        <v>1253</v>
      </c>
      <c r="F328" s="12" t="s">
        <v>1254</v>
      </c>
      <c r="G328" s="11" t="s">
        <v>72</v>
      </c>
      <c r="H328" s="11" t="s">
        <v>4</v>
      </c>
      <c r="I328" s="13" t="n">
        <v>0.5</v>
      </c>
      <c r="J328" s="11" t="s">
        <v>49</v>
      </c>
      <c r="K328" s="12" t="s">
        <v>1255</v>
      </c>
      <c r="L328" s="12" t="s">
        <v>1256</v>
      </c>
      <c r="M328" s="11" t="s">
        <v>50</v>
      </c>
      <c r="N328" s="12" t="s">
        <v>51</v>
      </c>
      <c r="O328" s="11" t="s">
        <v>27</v>
      </c>
      <c r="P328" s="11" t="s">
        <v>52</v>
      </c>
      <c r="Q328" s="12"/>
    </row>
    <row r="329" customFormat="false" ht="22.35" hidden="false" customHeight="false" outlineLevel="0" collapsed="false">
      <c r="A329" s="11" t="s">
        <v>1257</v>
      </c>
      <c r="B329" s="11" t="s">
        <v>14</v>
      </c>
      <c r="C329" s="11" t="s">
        <v>1042</v>
      </c>
      <c r="D329" s="12" t="s">
        <v>1258</v>
      </c>
      <c r="E329" s="12" t="s">
        <v>1259</v>
      </c>
      <c r="F329" s="12" t="s">
        <v>1258</v>
      </c>
      <c r="G329" s="11" t="s">
        <v>48</v>
      </c>
      <c r="H329" s="11" t="s">
        <v>9</v>
      </c>
      <c r="I329" s="13"/>
      <c r="J329" s="11" t="s">
        <v>49</v>
      </c>
      <c r="K329" s="12" t="s">
        <v>1139</v>
      </c>
      <c r="L329" s="12"/>
      <c r="M329" s="11" t="s">
        <v>50</v>
      </c>
      <c r="N329" s="12" t="s">
        <v>51</v>
      </c>
      <c r="O329" s="11" t="s">
        <v>28</v>
      </c>
      <c r="P329" s="11" t="s">
        <v>52</v>
      </c>
      <c r="Q329" s="12" t="s">
        <v>53</v>
      </c>
    </row>
    <row r="330" customFormat="false" ht="22.35" hidden="false" customHeight="false" outlineLevel="0" collapsed="false">
      <c r="A330" s="11" t="s">
        <v>1260</v>
      </c>
      <c r="B330" s="11" t="s">
        <v>14</v>
      </c>
      <c r="C330" s="11" t="s">
        <v>1042</v>
      </c>
      <c r="D330" s="12" t="s">
        <v>1261</v>
      </c>
      <c r="E330" s="12" t="s">
        <v>1262</v>
      </c>
      <c r="F330" s="12" t="s">
        <v>1261</v>
      </c>
      <c r="G330" s="11" t="s">
        <v>48</v>
      </c>
      <c r="H330" s="11" t="s">
        <v>9</v>
      </c>
      <c r="I330" s="13"/>
      <c r="J330" s="11" t="s">
        <v>49</v>
      </c>
      <c r="K330" s="12" t="s">
        <v>1139</v>
      </c>
      <c r="L330" s="12"/>
      <c r="M330" s="11" t="s">
        <v>50</v>
      </c>
      <c r="N330" s="12" t="s">
        <v>51</v>
      </c>
      <c r="O330" s="11" t="s">
        <v>28</v>
      </c>
      <c r="P330" s="11" t="s">
        <v>52</v>
      </c>
      <c r="Q330" s="12" t="s">
        <v>53</v>
      </c>
    </row>
    <row r="331" customFormat="false" ht="22.35" hidden="false" customHeight="false" outlineLevel="0" collapsed="false">
      <c r="A331" s="11" t="s">
        <v>1263</v>
      </c>
      <c r="B331" s="11" t="s">
        <v>14</v>
      </c>
      <c r="C331" s="11" t="s">
        <v>1042</v>
      </c>
      <c r="D331" s="12" t="s">
        <v>1264</v>
      </c>
      <c r="E331" s="12" t="s">
        <v>1265</v>
      </c>
      <c r="F331" s="12" t="s">
        <v>1264</v>
      </c>
      <c r="G331" s="11" t="s">
        <v>48</v>
      </c>
      <c r="H331" s="11" t="s">
        <v>9</v>
      </c>
      <c r="I331" s="13"/>
      <c r="J331" s="11" t="s">
        <v>49</v>
      </c>
      <c r="K331" s="12" t="s">
        <v>1139</v>
      </c>
      <c r="L331" s="12"/>
      <c r="M331" s="11" t="s">
        <v>50</v>
      </c>
      <c r="N331" s="12" t="s">
        <v>51</v>
      </c>
      <c r="O331" s="11" t="s">
        <v>28</v>
      </c>
      <c r="P331" s="11" t="s">
        <v>52</v>
      </c>
      <c r="Q331" s="12" t="s">
        <v>53</v>
      </c>
    </row>
    <row r="332" customFormat="false" ht="22.35" hidden="false" customHeight="false" outlineLevel="0" collapsed="false">
      <c r="A332" s="11" t="s">
        <v>1266</v>
      </c>
      <c r="B332" s="11" t="s">
        <v>14</v>
      </c>
      <c r="C332" s="11" t="s">
        <v>1042</v>
      </c>
      <c r="D332" s="12" t="s">
        <v>284</v>
      </c>
      <c r="E332" s="12" t="s">
        <v>1267</v>
      </c>
      <c r="F332" s="12" t="s">
        <v>284</v>
      </c>
      <c r="G332" s="11" t="s">
        <v>48</v>
      </c>
      <c r="H332" s="11" t="s">
        <v>9</v>
      </c>
      <c r="I332" s="13"/>
      <c r="J332" s="11" t="s">
        <v>49</v>
      </c>
      <c r="K332" s="12" t="s">
        <v>1139</v>
      </c>
      <c r="L332" s="12"/>
      <c r="M332" s="11" t="s">
        <v>50</v>
      </c>
      <c r="N332" s="12" t="s">
        <v>51</v>
      </c>
      <c r="O332" s="11" t="s">
        <v>28</v>
      </c>
      <c r="P332" s="11" t="s">
        <v>52</v>
      </c>
      <c r="Q332" s="12" t="s">
        <v>53</v>
      </c>
    </row>
    <row r="333" customFormat="false" ht="22.35" hidden="false" customHeight="false" outlineLevel="0" collapsed="false">
      <c r="A333" s="11" t="s">
        <v>1268</v>
      </c>
      <c r="B333" s="11" t="s">
        <v>14</v>
      </c>
      <c r="C333" s="11" t="s">
        <v>1042</v>
      </c>
      <c r="D333" s="12" t="s">
        <v>1269</v>
      </c>
      <c r="E333" s="12" t="s">
        <v>1270</v>
      </c>
      <c r="F333" s="12" t="s">
        <v>1269</v>
      </c>
      <c r="G333" s="11" t="s">
        <v>48</v>
      </c>
      <c r="H333" s="11" t="s">
        <v>9</v>
      </c>
      <c r="I333" s="13"/>
      <c r="J333" s="11" t="s">
        <v>49</v>
      </c>
      <c r="K333" s="12" t="s">
        <v>1139</v>
      </c>
      <c r="L333" s="12"/>
      <c r="M333" s="11" t="s">
        <v>50</v>
      </c>
      <c r="N333" s="12" t="s">
        <v>51</v>
      </c>
      <c r="O333" s="11" t="s">
        <v>28</v>
      </c>
      <c r="P333" s="11" t="s">
        <v>52</v>
      </c>
      <c r="Q333" s="12" t="s">
        <v>53</v>
      </c>
    </row>
    <row r="334" customFormat="false" ht="22.35" hidden="false" customHeight="false" outlineLevel="0" collapsed="false">
      <c r="A334" s="11" t="s">
        <v>1271</v>
      </c>
      <c r="B334" s="11" t="s">
        <v>14</v>
      </c>
      <c r="C334" s="11" t="s">
        <v>1042</v>
      </c>
      <c r="D334" s="12" t="s">
        <v>1272</v>
      </c>
      <c r="E334" s="12" t="s">
        <v>1273</v>
      </c>
      <c r="F334" s="12" t="s">
        <v>1272</v>
      </c>
      <c r="G334" s="11" t="s">
        <v>48</v>
      </c>
      <c r="H334" s="11" t="s">
        <v>9</v>
      </c>
      <c r="I334" s="13"/>
      <c r="J334" s="11" t="s">
        <v>49</v>
      </c>
      <c r="K334" s="12" t="s">
        <v>1139</v>
      </c>
      <c r="L334" s="12"/>
      <c r="M334" s="11" t="s">
        <v>50</v>
      </c>
      <c r="N334" s="12" t="s">
        <v>51</v>
      </c>
      <c r="O334" s="11" t="s">
        <v>28</v>
      </c>
      <c r="P334" s="11" t="s">
        <v>52</v>
      </c>
      <c r="Q334" s="12" t="s">
        <v>53</v>
      </c>
    </row>
    <row r="335" customFormat="false" ht="22.35" hidden="false" customHeight="false" outlineLevel="0" collapsed="false">
      <c r="A335" s="11" t="s">
        <v>1274</v>
      </c>
      <c r="B335" s="11" t="s">
        <v>14</v>
      </c>
      <c r="C335" s="11" t="s">
        <v>1042</v>
      </c>
      <c r="D335" s="12" t="s">
        <v>1275</v>
      </c>
      <c r="E335" s="12" t="s">
        <v>1276</v>
      </c>
      <c r="F335" s="12" t="s">
        <v>1275</v>
      </c>
      <c r="G335" s="11" t="s">
        <v>48</v>
      </c>
      <c r="H335" s="11" t="s">
        <v>9</v>
      </c>
      <c r="I335" s="13"/>
      <c r="J335" s="11" t="s">
        <v>49</v>
      </c>
      <c r="K335" s="12" t="s">
        <v>1139</v>
      </c>
      <c r="L335" s="12"/>
      <c r="M335" s="11" t="s">
        <v>50</v>
      </c>
      <c r="N335" s="12" t="s">
        <v>51</v>
      </c>
      <c r="O335" s="11" t="s">
        <v>28</v>
      </c>
      <c r="P335" s="11" t="s">
        <v>52</v>
      </c>
      <c r="Q335" s="12" t="s">
        <v>53</v>
      </c>
    </row>
    <row r="336" customFormat="false" ht="22.35" hidden="false" customHeight="false" outlineLevel="0" collapsed="false">
      <c r="A336" s="11" t="s">
        <v>1277</v>
      </c>
      <c r="B336" s="11" t="s">
        <v>14</v>
      </c>
      <c r="C336" s="11" t="s">
        <v>1042</v>
      </c>
      <c r="D336" s="12" t="s">
        <v>1278</v>
      </c>
      <c r="E336" s="12" t="s">
        <v>1279</v>
      </c>
      <c r="F336" s="12" t="s">
        <v>1278</v>
      </c>
      <c r="G336" s="11" t="s">
        <v>48</v>
      </c>
      <c r="H336" s="11" t="s">
        <v>9</v>
      </c>
      <c r="I336" s="13"/>
      <c r="J336" s="11" t="s">
        <v>49</v>
      </c>
      <c r="K336" s="12" t="s">
        <v>1139</v>
      </c>
      <c r="L336" s="12"/>
      <c r="M336" s="11" t="s">
        <v>50</v>
      </c>
      <c r="N336" s="12" t="s">
        <v>51</v>
      </c>
      <c r="O336" s="11" t="s">
        <v>28</v>
      </c>
      <c r="P336" s="11" t="s">
        <v>52</v>
      </c>
      <c r="Q336" s="12" t="s">
        <v>53</v>
      </c>
    </row>
    <row r="337" customFormat="false" ht="22.35" hidden="false" customHeight="false" outlineLevel="0" collapsed="false">
      <c r="A337" s="11" t="s">
        <v>1280</v>
      </c>
      <c r="B337" s="11" t="s">
        <v>14</v>
      </c>
      <c r="C337" s="11" t="s">
        <v>1042</v>
      </c>
      <c r="D337" s="12" t="s">
        <v>1281</v>
      </c>
      <c r="E337" s="12" t="s">
        <v>1282</v>
      </c>
      <c r="F337" s="12" t="s">
        <v>1281</v>
      </c>
      <c r="G337" s="11" t="s">
        <v>48</v>
      </c>
      <c r="H337" s="11" t="s">
        <v>9</v>
      </c>
      <c r="I337" s="13"/>
      <c r="J337" s="11" t="s">
        <v>49</v>
      </c>
      <c r="K337" s="12" t="s">
        <v>1139</v>
      </c>
      <c r="L337" s="12"/>
      <c r="M337" s="11" t="s">
        <v>50</v>
      </c>
      <c r="N337" s="12" t="s">
        <v>51</v>
      </c>
      <c r="O337" s="11" t="s">
        <v>28</v>
      </c>
      <c r="P337" s="11" t="s">
        <v>52</v>
      </c>
      <c r="Q337" s="12" t="s">
        <v>53</v>
      </c>
    </row>
    <row r="338" customFormat="false" ht="22.35" hidden="false" customHeight="false" outlineLevel="0" collapsed="false">
      <c r="A338" s="11" t="s">
        <v>1283</v>
      </c>
      <c r="B338" s="11" t="s">
        <v>14</v>
      </c>
      <c r="C338" s="11" t="s">
        <v>1042</v>
      </c>
      <c r="D338" s="12" t="s">
        <v>1284</v>
      </c>
      <c r="E338" s="12" t="s">
        <v>1285</v>
      </c>
      <c r="F338" s="12" t="s">
        <v>1284</v>
      </c>
      <c r="G338" s="11" t="s">
        <v>72</v>
      </c>
      <c r="H338" s="11" t="s">
        <v>8</v>
      </c>
      <c r="I338" s="13"/>
      <c r="J338" s="11" t="s">
        <v>49</v>
      </c>
      <c r="K338" s="12" t="s">
        <v>1139</v>
      </c>
      <c r="L338" s="12"/>
      <c r="M338" s="11" t="s">
        <v>50</v>
      </c>
      <c r="N338" s="12" t="s">
        <v>51</v>
      </c>
      <c r="O338" s="11" t="s">
        <v>28</v>
      </c>
      <c r="P338" s="11" t="s">
        <v>52</v>
      </c>
      <c r="Q338" s="12" t="s">
        <v>1286</v>
      </c>
    </row>
    <row r="339" customFormat="false" ht="22.35" hidden="false" customHeight="false" outlineLevel="0" collapsed="false">
      <c r="A339" s="11" t="s">
        <v>1287</v>
      </c>
      <c r="B339" s="11" t="s">
        <v>14</v>
      </c>
      <c r="C339" s="11" t="s">
        <v>1042</v>
      </c>
      <c r="D339" s="12" t="s">
        <v>1288</v>
      </c>
      <c r="E339" s="12" t="s">
        <v>1289</v>
      </c>
      <c r="F339" s="12" t="s">
        <v>1288</v>
      </c>
      <c r="G339" s="11" t="s">
        <v>72</v>
      </c>
      <c r="H339" s="11" t="s">
        <v>8</v>
      </c>
      <c r="I339" s="13"/>
      <c r="J339" s="11" t="s">
        <v>49</v>
      </c>
      <c r="K339" s="12" t="s">
        <v>1139</v>
      </c>
      <c r="L339" s="12"/>
      <c r="M339" s="11" t="s">
        <v>50</v>
      </c>
      <c r="N339" s="12" t="s">
        <v>51</v>
      </c>
      <c r="O339" s="11" t="s">
        <v>28</v>
      </c>
      <c r="P339" s="11" t="s">
        <v>52</v>
      </c>
      <c r="Q339" s="12" t="s">
        <v>1286</v>
      </c>
    </row>
    <row r="340" customFormat="false" ht="32.8" hidden="false" customHeight="false" outlineLevel="0" collapsed="false">
      <c r="A340" s="11" t="s">
        <v>1290</v>
      </c>
      <c r="B340" s="11" t="s">
        <v>14</v>
      </c>
      <c r="C340" s="11" t="s">
        <v>1042</v>
      </c>
      <c r="D340" s="12" t="s">
        <v>1291</v>
      </c>
      <c r="E340" s="12" t="s">
        <v>1292</v>
      </c>
      <c r="F340" s="12" t="s">
        <v>1291</v>
      </c>
      <c r="G340" s="11" t="s">
        <v>72</v>
      </c>
      <c r="H340" s="11" t="s">
        <v>8</v>
      </c>
      <c r="I340" s="13"/>
      <c r="J340" s="11" t="s">
        <v>49</v>
      </c>
      <c r="K340" s="12" t="s">
        <v>1139</v>
      </c>
      <c r="L340" s="12"/>
      <c r="M340" s="11" t="s">
        <v>50</v>
      </c>
      <c r="N340" s="12" t="s">
        <v>51</v>
      </c>
      <c r="O340" s="11" t="s">
        <v>28</v>
      </c>
      <c r="P340" s="11" t="s">
        <v>52</v>
      </c>
      <c r="Q340" s="12" t="s">
        <v>1286</v>
      </c>
    </row>
    <row r="341" customFormat="false" ht="32.8" hidden="false" customHeight="false" outlineLevel="0" collapsed="false">
      <c r="A341" s="11" t="s">
        <v>1293</v>
      </c>
      <c r="B341" s="11" t="s">
        <v>14</v>
      </c>
      <c r="C341" s="11" t="s">
        <v>1042</v>
      </c>
      <c r="D341" s="12" t="s">
        <v>1294</v>
      </c>
      <c r="E341" s="12" t="s">
        <v>1295</v>
      </c>
      <c r="F341" s="12" t="s">
        <v>1294</v>
      </c>
      <c r="G341" s="11" t="s">
        <v>72</v>
      </c>
      <c r="H341" s="11" t="s">
        <v>8</v>
      </c>
      <c r="I341" s="13"/>
      <c r="J341" s="11" t="s">
        <v>49</v>
      </c>
      <c r="K341" s="12" t="s">
        <v>1139</v>
      </c>
      <c r="L341" s="12"/>
      <c r="M341" s="11" t="s">
        <v>50</v>
      </c>
      <c r="N341" s="12" t="s">
        <v>51</v>
      </c>
      <c r="O341" s="11" t="s">
        <v>28</v>
      </c>
      <c r="P341" s="11" t="s">
        <v>52</v>
      </c>
      <c r="Q341" s="12" t="s">
        <v>1286</v>
      </c>
    </row>
    <row r="342" customFormat="false" ht="22.35" hidden="false" customHeight="false" outlineLevel="0" collapsed="false">
      <c r="A342" s="11" t="s">
        <v>1296</v>
      </c>
      <c r="B342" s="11" t="s">
        <v>14</v>
      </c>
      <c r="C342" s="11" t="s">
        <v>1042</v>
      </c>
      <c r="D342" s="12" t="s">
        <v>1297</v>
      </c>
      <c r="E342" s="12" t="s">
        <v>1298</v>
      </c>
      <c r="F342" s="12" t="s">
        <v>1297</v>
      </c>
      <c r="G342" s="11" t="s">
        <v>72</v>
      </c>
      <c r="H342" s="11" t="s">
        <v>8</v>
      </c>
      <c r="I342" s="13"/>
      <c r="J342" s="11" t="s">
        <v>49</v>
      </c>
      <c r="K342" s="12" t="s">
        <v>1139</v>
      </c>
      <c r="L342" s="12"/>
      <c r="M342" s="11" t="s">
        <v>50</v>
      </c>
      <c r="N342" s="12" t="s">
        <v>51</v>
      </c>
      <c r="O342" s="11" t="s">
        <v>28</v>
      </c>
      <c r="P342" s="11" t="s">
        <v>52</v>
      </c>
      <c r="Q342" s="12" t="s">
        <v>1286</v>
      </c>
    </row>
    <row r="343" customFormat="false" ht="32.8" hidden="false" customHeight="false" outlineLevel="0" collapsed="false">
      <c r="A343" s="11" t="s">
        <v>1299</v>
      </c>
      <c r="B343" s="11" t="s">
        <v>14</v>
      </c>
      <c r="C343" s="11" t="s">
        <v>1042</v>
      </c>
      <c r="D343" s="12" t="s">
        <v>1300</v>
      </c>
      <c r="E343" s="12" t="s">
        <v>1301</v>
      </c>
      <c r="F343" s="12" t="s">
        <v>1300</v>
      </c>
      <c r="G343" s="11" t="s">
        <v>72</v>
      </c>
      <c r="H343" s="11" t="s">
        <v>8</v>
      </c>
      <c r="I343" s="13"/>
      <c r="J343" s="11" t="s">
        <v>49</v>
      </c>
      <c r="K343" s="12" t="s">
        <v>1139</v>
      </c>
      <c r="L343" s="12"/>
      <c r="M343" s="11" t="s">
        <v>50</v>
      </c>
      <c r="N343" s="12" t="s">
        <v>51</v>
      </c>
      <c r="O343" s="11" t="s">
        <v>28</v>
      </c>
      <c r="P343" s="11" t="s">
        <v>52</v>
      </c>
      <c r="Q343" s="12" t="s">
        <v>1286</v>
      </c>
    </row>
    <row r="344" customFormat="false" ht="32.8" hidden="false" customHeight="false" outlineLevel="0" collapsed="false">
      <c r="A344" s="11" t="s">
        <v>1302</v>
      </c>
      <c r="B344" s="11" t="s">
        <v>14</v>
      </c>
      <c r="C344" s="11" t="s">
        <v>1042</v>
      </c>
      <c r="D344" s="12" t="s">
        <v>1303</v>
      </c>
      <c r="E344" s="12" t="s">
        <v>1304</v>
      </c>
      <c r="F344" s="12" t="s">
        <v>1303</v>
      </c>
      <c r="G344" s="11" t="s">
        <v>72</v>
      </c>
      <c r="H344" s="11" t="s">
        <v>8</v>
      </c>
      <c r="I344" s="13"/>
      <c r="J344" s="11" t="s">
        <v>49</v>
      </c>
      <c r="K344" s="12" t="s">
        <v>1139</v>
      </c>
      <c r="L344" s="12"/>
      <c r="M344" s="11" t="s">
        <v>50</v>
      </c>
      <c r="N344" s="12" t="s">
        <v>51</v>
      </c>
      <c r="O344" s="11" t="s">
        <v>28</v>
      </c>
      <c r="P344" s="11" t="s">
        <v>52</v>
      </c>
      <c r="Q344" s="12" t="s">
        <v>1286</v>
      </c>
    </row>
    <row r="345" customFormat="false" ht="32.8" hidden="false" customHeight="false" outlineLevel="0" collapsed="false">
      <c r="A345" s="11" t="s">
        <v>1305</v>
      </c>
      <c r="B345" s="11" t="s">
        <v>14</v>
      </c>
      <c r="C345" s="11" t="s">
        <v>1042</v>
      </c>
      <c r="D345" s="12" t="s">
        <v>1306</v>
      </c>
      <c r="E345" s="12" t="s">
        <v>1307</v>
      </c>
      <c r="F345" s="12" t="s">
        <v>1306</v>
      </c>
      <c r="G345" s="11" t="s">
        <v>72</v>
      </c>
      <c r="H345" s="11" t="s">
        <v>8</v>
      </c>
      <c r="I345" s="13"/>
      <c r="J345" s="11" t="s">
        <v>49</v>
      </c>
      <c r="K345" s="12" t="s">
        <v>1139</v>
      </c>
      <c r="L345" s="12"/>
      <c r="M345" s="11" t="s">
        <v>50</v>
      </c>
      <c r="N345" s="12" t="s">
        <v>51</v>
      </c>
      <c r="O345" s="11" t="s">
        <v>28</v>
      </c>
      <c r="P345" s="11" t="s">
        <v>52</v>
      </c>
      <c r="Q345" s="12" t="s">
        <v>1286</v>
      </c>
    </row>
    <row r="346" customFormat="false" ht="32.8" hidden="false" customHeight="false" outlineLevel="0" collapsed="false">
      <c r="A346" s="11" t="s">
        <v>1308</v>
      </c>
      <c r="B346" s="11" t="s">
        <v>14</v>
      </c>
      <c r="C346" s="11" t="s">
        <v>1042</v>
      </c>
      <c r="D346" s="12" t="s">
        <v>1309</v>
      </c>
      <c r="E346" s="12" t="s">
        <v>1310</v>
      </c>
      <c r="F346" s="12" t="s">
        <v>1309</v>
      </c>
      <c r="G346" s="11" t="s">
        <v>72</v>
      </c>
      <c r="H346" s="11" t="s">
        <v>8</v>
      </c>
      <c r="I346" s="13"/>
      <c r="J346" s="11" t="s">
        <v>49</v>
      </c>
      <c r="K346" s="12" t="s">
        <v>1139</v>
      </c>
      <c r="L346" s="12"/>
      <c r="M346" s="11" t="s">
        <v>50</v>
      </c>
      <c r="N346" s="12" t="s">
        <v>51</v>
      </c>
      <c r="O346" s="11" t="s">
        <v>28</v>
      </c>
      <c r="P346" s="11" t="s">
        <v>52</v>
      </c>
      <c r="Q346" s="12" t="s">
        <v>1286</v>
      </c>
    </row>
    <row r="347" customFormat="false" ht="22.35" hidden="false" customHeight="false" outlineLevel="0" collapsed="false">
      <c r="A347" s="11" t="s">
        <v>1311</v>
      </c>
      <c r="B347" s="11" t="s">
        <v>14</v>
      </c>
      <c r="C347" s="11" t="s">
        <v>1042</v>
      </c>
      <c r="D347" s="12" t="s">
        <v>1312</v>
      </c>
      <c r="E347" s="12" t="s">
        <v>1313</v>
      </c>
      <c r="F347" s="12" t="s">
        <v>1312</v>
      </c>
      <c r="G347" s="11" t="s">
        <v>72</v>
      </c>
      <c r="H347" s="11" t="s">
        <v>8</v>
      </c>
      <c r="I347" s="13"/>
      <c r="J347" s="11" t="s">
        <v>49</v>
      </c>
      <c r="K347" s="12" t="s">
        <v>1139</v>
      </c>
      <c r="L347" s="12"/>
      <c r="M347" s="11" t="s">
        <v>50</v>
      </c>
      <c r="N347" s="12" t="s">
        <v>51</v>
      </c>
      <c r="O347" s="11" t="s">
        <v>28</v>
      </c>
      <c r="P347" s="11" t="s">
        <v>52</v>
      </c>
      <c r="Q347" s="12" t="s">
        <v>1286</v>
      </c>
    </row>
    <row r="348" customFormat="false" ht="32.8" hidden="false" customHeight="false" outlineLevel="0" collapsed="false">
      <c r="A348" s="11" t="s">
        <v>1314</v>
      </c>
      <c r="B348" s="11" t="s">
        <v>14</v>
      </c>
      <c r="C348" s="11" t="s">
        <v>1042</v>
      </c>
      <c r="D348" s="12" t="s">
        <v>1315</v>
      </c>
      <c r="E348" s="12" t="s">
        <v>1316</v>
      </c>
      <c r="F348" s="12" t="s">
        <v>1315</v>
      </c>
      <c r="G348" s="11" t="s">
        <v>72</v>
      </c>
      <c r="H348" s="11" t="s">
        <v>8</v>
      </c>
      <c r="I348" s="13"/>
      <c r="J348" s="11" t="s">
        <v>49</v>
      </c>
      <c r="K348" s="12" t="s">
        <v>1139</v>
      </c>
      <c r="L348" s="12"/>
      <c r="M348" s="11" t="s">
        <v>50</v>
      </c>
      <c r="N348" s="12" t="s">
        <v>51</v>
      </c>
      <c r="O348" s="11" t="s">
        <v>28</v>
      </c>
      <c r="P348" s="11" t="s">
        <v>52</v>
      </c>
      <c r="Q348" s="12" t="s">
        <v>1286</v>
      </c>
    </row>
    <row r="349" customFormat="false" ht="32.8" hidden="false" customHeight="false" outlineLevel="0" collapsed="false">
      <c r="A349" s="11" t="s">
        <v>1317</v>
      </c>
      <c r="B349" s="11" t="s">
        <v>14</v>
      </c>
      <c r="C349" s="11" t="s">
        <v>1042</v>
      </c>
      <c r="D349" s="12" t="s">
        <v>1318</v>
      </c>
      <c r="E349" s="12" t="s">
        <v>1319</v>
      </c>
      <c r="F349" s="12" t="s">
        <v>1318</v>
      </c>
      <c r="G349" s="11" t="s">
        <v>72</v>
      </c>
      <c r="H349" s="11" t="s">
        <v>8</v>
      </c>
      <c r="I349" s="13"/>
      <c r="J349" s="11" t="s">
        <v>49</v>
      </c>
      <c r="K349" s="12" t="s">
        <v>1139</v>
      </c>
      <c r="L349" s="12"/>
      <c r="M349" s="11" t="s">
        <v>50</v>
      </c>
      <c r="N349" s="12" t="s">
        <v>51</v>
      </c>
      <c r="O349" s="11" t="s">
        <v>28</v>
      </c>
      <c r="P349" s="11" t="s">
        <v>52</v>
      </c>
      <c r="Q349" s="12" t="s">
        <v>1286</v>
      </c>
    </row>
    <row r="350" customFormat="false" ht="32.8" hidden="false" customHeight="false" outlineLevel="0" collapsed="false">
      <c r="A350" s="11" t="s">
        <v>1320</v>
      </c>
      <c r="B350" s="11" t="s">
        <v>14</v>
      </c>
      <c r="C350" s="11" t="s">
        <v>1042</v>
      </c>
      <c r="D350" s="12" t="s">
        <v>1321</v>
      </c>
      <c r="E350" s="12" t="s">
        <v>1322</v>
      </c>
      <c r="F350" s="12" t="s">
        <v>1321</v>
      </c>
      <c r="G350" s="11" t="s">
        <v>72</v>
      </c>
      <c r="H350" s="11" t="s">
        <v>8</v>
      </c>
      <c r="I350" s="13"/>
      <c r="J350" s="11" t="s">
        <v>49</v>
      </c>
      <c r="K350" s="12" t="s">
        <v>1139</v>
      </c>
      <c r="L350" s="12"/>
      <c r="M350" s="11" t="s">
        <v>50</v>
      </c>
      <c r="N350" s="12" t="s">
        <v>51</v>
      </c>
      <c r="O350" s="11" t="s">
        <v>28</v>
      </c>
      <c r="P350" s="11" t="s">
        <v>52</v>
      </c>
      <c r="Q350" s="12" t="s">
        <v>1286</v>
      </c>
    </row>
    <row r="351" customFormat="false" ht="32.8" hidden="false" customHeight="false" outlineLevel="0" collapsed="false">
      <c r="A351" s="11" t="s">
        <v>1323</v>
      </c>
      <c r="B351" s="11" t="s">
        <v>14</v>
      </c>
      <c r="C351" s="11" t="s">
        <v>1042</v>
      </c>
      <c r="D351" s="12" t="s">
        <v>1324</v>
      </c>
      <c r="E351" s="12" t="s">
        <v>1325</v>
      </c>
      <c r="F351" s="12" t="s">
        <v>1324</v>
      </c>
      <c r="G351" s="11" t="s">
        <v>72</v>
      </c>
      <c r="H351" s="11" t="s">
        <v>8</v>
      </c>
      <c r="I351" s="13"/>
      <c r="J351" s="11" t="s">
        <v>49</v>
      </c>
      <c r="K351" s="12" t="s">
        <v>1139</v>
      </c>
      <c r="L351" s="12"/>
      <c r="M351" s="11" t="s">
        <v>50</v>
      </c>
      <c r="N351" s="12" t="s">
        <v>51</v>
      </c>
      <c r="O351" s="11" t="s">
        <v>28</v>
      </c>
      <c r="P351" s="11" t="s">
        <v>52</v>
      </c>
      <c r="Q351" s="12" t="s">
        <v>1286</v>
      </c>
    </row>
    <row r="352" customFormat="false" ht="32.8" hidden="false" customHeight="false" outlineLevel="0" collapsed="false">
      <c r="A352" s="11" t="s">
        <v>1326</v>
      </c>
      <c r="B352" s="11" t="s">
        <v>14</v>
      </c>
      <c r="C352" s="11" t="s">
        <v>1042</v>
      </c>
      <c r="D352" s="12" t="s">
        <v>1327</v>
      </c>
      <c r="E352" s="12" t="s">
        <v>1328</v>
      </c>
      <c r="F352" s="12" t="s">
        <v>1327</v>
      </c>
      <c r="G352" s="11" t="s">
        <v>72</v>
      </c>
      <c r="H352" s="11" t="s">
        <v>8</v>
      </c>
      <c r="I352" s="13"/>
      <c r="J352" s="11" t="s">
        <v>49</v>
      </c>
      <c r="K352" s="12" t="s">
        <v>1139</v>
      </c>
      <c r="L352" s="12"/>
      <c r="M352" s="11" t="s">
        <v>50</v>
      </c>
      <c r="N352" s="12" t="s">
        <v>51</v>
      </c>
      <c r="O352" s="11" t="s">
        <v>28</v>
      </c>
      <c r="P352" s="11" t="s">
        <v>52</v>
      </c>
      <c r="Q352" s="12" t="s">
        <v>1286</v>
      </c>
    </row>
    <row r="353" customFormat="false" ht="32.8" hidden="false" customHeight="false" outlineLevel="0" collapsed="false">
      <c r="A353" s="11" t="s">
        <v>1329</v>
      </c>
      <c r="B353" s="11" t="s">
        <v>14</v>
      </c>
      <c r="C353" s="11" t="s">
        <v>1042</v>
      </c>
      <c r="D353" s="12" t="s">
        <v>1330</v>
      </c>
      <c r="E353" s="12" t="s">
        <v>1331</v>
      </c>
      <c r="F353" s="12" t="s">
        <v>1330</v>
      </c>
      <c r="G353" s="11" t="s">
        <v>72</v>
      </c>
      <c r="H353" s="11" t="s">
        <v>8</v>
      </c>
      <c r="I353" s="13"/>
      <c r="J353" s="11" t="s">
        <v>49</v>
      </c>
      <c r="K353" s="12" t="s">
        <v>1139</v>
      </c>
      <c r="L353" s="12"/>
      <c r="M353" s="11" t="s">
        <v>50</v>
      </c>
      <c r="N353" s="12" t="s">
        <v>51</v>
      </c>
      <c r="O353" s="11" t="s">
        <v>28</v>
      </c>
      <c r="P353" s="11" t="s">
        <v>52</v>
      </c>
      <c r="Q353" s="12" t="s">
        <v>1286</v>
      </c>
    </row>
    <row r="354" customFormat="false" ht="22.35" hidden="false" customHeight="false" outlineLevel="0" collapsed="false">
      <c r="A354" s="11" t="s">
        <v>1332</v>
      </c>
      <c r="B354" s="11" t="s">
        <v>14</v>
      </c>
      <c r="C354" s="11" t="s">
        <v>1042</v>
      </c>
      <c r="D354" s="12" t="s">
        <v>1333</v>
      </c>
      <c r="E354" s="12" t="s">
        <v>1334</v>
      </c>
      <c r="F354" s="12" t="s">
        <v>1333</v>
      </c>
      <c r="G354" s="11" t="s">
        <v>72</v>
      </c>
      <c r="H354" s="11" t="s">
        <v>8</v>
      </c>
      <c r="I354" s="13"/>
      <c r="J354" s="11" t="s">
        <v>49</v>
      </c>
      <c r="K354" s="12" t="s">
        <v>1139</v>
      </c>
      <c r="L354" s="12"/>
      <c r="M354" s="11" t="s">
        <v>50</v>
      </c>
      <c r="N354" s="12" t="s">
        <v>51</v>
      </c>
      <c r="O354" s="11" t="s">
        <v>28</v>
      </c>
      <c r="P354" s="11" t="s">
        <v>52</v>
      </c>
      <c r="Q354" s="12" t="s">
        <v>1286</v>
      </c>
    </row>
    <row r="355" customFormat="false" ht="32.8" hidden="false" customHeight="false" outlineLevel="0" collapsed="false">
      <c r="A355" s="11" t="s">
        <v>1335</v>
      </c>
      <c r="B355" s="11" t="s">
        <v>14</v>
      </c>
      <c r="C355" s="11" t="s">
        <v>1042</v>
      </c>
      <c r="D355" s="12" t="s">
        <v>1336</v>
      </c>
      <c r="E355" s="12" t="s">
        <v>1337</v>
      </c>
      <c r="F355" s="12" t="s">
        <v>1336</v>
      </c>
      <c r="G355" s="11" t="s">
        <v>72</v>
      </c>
      <c r="H355" s="11" t="s">
        <v>8</v>
      </c>
      <c r="I355" s="13"/>
      <c r="J355" s="11" t="s">
        <v>49</v>
      </c>
      <c r="K355" s="12" t="s">
        <v>1139</v>
      </c>
      <c r="L355" s="12"/>
      <c r="M355" s="11" t="s">
        <v>50</v>
      </c>
      <c r="N355" s="12" t="s">
        <v>51</v>
      </c>
      <c r="O355" s="11" t="s">
        <v>28</v>
      </c>
      <c r="P355" s="11" t="s">
        <v>52</v>
      </c>
      <c r="Q355" s="12" t="s">
        <v>1286</v>
      </c>
    </row>
    <row r="356" customFormat="false" ht="22.35" hidden="false" customHeight="false" outlineLevel="0" collapsed="false">
      <c r="A356" s="11" t="s">
        <v>1338</v>
      </c>
      <c r="B356" s="11" t="s">
        <v>14</v>
      </c>
      <c r="C356" s="11" t="s">
        <v>1042</v>
      </c>
      <c r="D356" s="12" t="s">
        <v>1339</v>
      </c>
      <c r="E356" s="12" t="s">
        <v>1340</v>
      </c>
      <c r="F356" s="12" t="s">
        <v>1339</v>
      </c>
      <c r="G356" s="11" t="s">
        <v>72</v>
      </c>
      <c r="H356" s="11" t="s">
        <v>8</v>
      </c>
      <c r="I356" s="13"/>
      <c r="J356" s="11" t="s">
        <v>49</v>
      </c>
      <c r="K356" s="12" t="s">
        <v>1139</v>
      </c>
      <c r="L356" s="12"/>
      <c r="M356" s="11" t="s">
        <v>50</v>
      </c>
      <c r="N356" s="12" t="s">
        <v>51</v>
      </c>
      <c r="O356" s="11" t="s">
        <v>28</v>
      </c>
      <c r="P356" s="11" t="s">
        <v>52</v>
      </c>
      <c r="Q356" s="12" t="s">
        <v>1286</v>
      </c>
    </row>
    <row r="357" customFormat="false" ht="32.8" hidden="false" customHeight="false" outlineLevel="0" collapsed="false">
      <c r="A357" s="11" t="s">
        <v>1341</v>
      </c>
      <c r="B357" s="11" t="s">
        <v>14</v>
      </c>
      <c r="C357" s="11" t="s">
        <v>1042</v>
      </c>
      <c r="D357" s="12" t="s">
        <v>1342</v>
      </c>
      <c r="E357" s="12" t="s">
        <v>1343</v>
      </c>
      <c r="F357" s="12" t="s">
        <v>1342</v>
      </c>
      <c r="G357" s="11" t="s">
        <v>72</v>
      </c>
      <c r="H357" s="11" t="s">
        <v>8</v>
      </c>
      <c r="I357" s="13"/>
      <c r="J357" s="11" t="s">
        <v>49</v>
      </c>
      <c r="K357" s="12" t="s">
        <v>1139</v>
      </c>
      <c r="L357" s="12"/>
      <c r="M357" s="11" t="s">
        <v>50</v>
      </c>
      <c r="N357" s="12" t="s">
        <v>51</v>
      </c>
      <c r="O357" s="11" t="s">
        <v>28</v>
      </c>
      <c r="P357" s="11" t="s">
        <v>52</v>
      </c>
      <c r="Q357" s="12" t="s">
        <v>1286</v>
      </c>
    </row>
    <row r="358" customFormat="false" ht="32.8" hidden="false" customHeight="false" outlineLevel="0" collapsed="false">
      <c r="A358" s="11" t="s">
        <v>1344</v>
      </c>
      <c r="B358" s="11" t="s">
        <v>14</v>
      </c>
      <c r="C358" s="11" t="s">
        <v>1042</v>
      </c>
      <c r="D358" s="12" t="s">
        <v>1345</v>
      </c>
      <c r="E358" s="12" t="s">
        <v>1346</v>
      </c>
      <c r="F358" s="12" t="s">
        <v>1345</v>
      </c>
      <c r="G358" s="11" t="s">
        <v>72</v>
      </c>
      <c r="H358" s="11" t="s">
        <v>8</v>
      </c>
      <c r="I358" s="13"/>
      <c r="J358" s="11" t="s">
        <v>49</v>
      </c>
      <c r="K358" s="12" t="s">
        <v>1139</v>
      </c>
      <c r="L358" s="12"/>
      <c r="M358" s="11" t="s">
        <v>50</v>
      </c>
      <c r="N358" s="12" t="s">
        <v>51</v>
      </c>
      <c r="O358" s="11" t="s">
        <v>28</v>
      </c>
      <c r="P358" s="11" t="s">
        <v>52</v>
      </c>
      <c r="Q358" s="12" t="s">
        <v>1286</v>
      </c>
    </row>
    <row r="359" customFormat="false" ht="32.8" hidden="false" customHeight="false" outlineLevel="0" collapsed="false">
      <c r="A359" s="11" t="s">
        <v>1347</v>
      </c>
      <c r="B359" s="11" t="s">
        <v>14</v>
      </c>
      <c r="C359" s="11" t="s">
        <v>1042</v>
      </c>
      <c r="D359" s="12" t="s">
        <v>1348</v>
      </c>
      <c r="E359" s="12" t="s">
        <v>1349</v>
      </c>
      <c r="F359" s="12" t="s">
        <v>1348</v>
      </c>
      <c r="G359" s="11" t="s">
        <v>72</v>
      </c>
      <c r="H359" s="11" t="s">
        <v>8</v>
      </c>
      <c r="I359" s="13"/>
      <c r="J359" s="11" t="s">
        <v>49</v>
      </c>
      <c r="K359" s="12" t="s">
        <v>1139</v>
      </c>
      <c r="L359" s="12"/>
      <c r="M359" s="11" t="s">
        <v>50</v>
      </c>
      <c r="N359" s="12" t="s">
        <v>51</v>
      </c>
      <c r="O359" s="11" t="s">
        <v>28</v>
      </c>
      <c r="P359" s="11" t="s">
        <v>52</v>
      </c>
      <c r="Q359" s="12" t="s">
        <v>1286</v>
      </c>
    </row>
    <row r="360" customFormat="false" ht="32.8" hidden="false" customHeight="false" outlineLevel="0" collapsed="false">
      <c r="A360" s="11" t="s">
        <v>1350</v>
      </c>
      <c r="B360" s="11" t="s">
        <v>14</v>
      </c>
      <c r="C360" s="11" t="s">
        <v>1042</v>
      </c>
      <c r="D360" s="12" t="s">
        <v>1351</v>
      </c>
      <c r="E360" s="12" t="s">
        <v>1352</v>
      </c>
      <c r="F360" s="12" t="s">
        <v>1351</v>
      </c>
      <c r="G360" s="11" t="s">
        <v>72</v>
      </c>
      <c r="H360" s="11" t="s">
        <v>8</v>
      </c>
      <c r="I360" s="13"/>
      <c r="J360" s="11" t="s">
        <v>49</v>
      </c>
      <c r="K360" s="12" t="s">
        <v>1139</v>
      </c>
      <c r="L360" s="12"/>
      <c r="M360" s="11" t="s">
        <v>50</v>
      </c>
      <c r="N360" s="12" t="s">
        <v>51</v>
      </c>
      <c r="O360" s="11" t="s">
        <v>28</v>
      </c>
      <c r="P360" s="11" t="s">
        <v>52</v>
      </c>
      <c r="Q360" s="12" t="s">
        <v>1286</v>
      </c>
    </row>
    <row r="361" customFormat="false" ht="32.8" hidden="false" customHeight="false" outlineLevel="0" collapsed="false">
      <c r="A361" s="11" t="s">
        <v>1353</v>
      </c>
      <c r="B361" s="11" t="s">
        <v>14</v>
      </c>
      <c r="C361" s="11" t="s">
        <v>1042</v>
      </c>
      <c r="D361" s="12" t="s">
        <v>1354</v>
      </c>
      <c r="E361" s="12" t="s">
        <v>1355</v>
      </c>
      <c r="F361" s="12" t="s">
        <v>1354</v>
      </c>
      <c r="G361" s="11" t="s">
        <v>72</v>
      </c>
      <c r="H361" s="11" t="s">
        <v>8</v>
      </c>
      <c r="I361" s="13"/>
      <c r="J361" s="11" t="s">
        <v>49</v>
      </c>
      <c r="K361" s="12" t="s">
        <v>1139</v>
      </c>
      <c r="L361" s="12"/>
      <c r="M361" s="11" t="s">
        <v>50</v>
      </c>
      <c r="N361" s="12" t="s">
        <v>51</v>
      </c>
      <c r="O361" s="11" t="s">
        <v>28</v>
      </c>
      <c r="P361" s="11" t="s">
        <v>52</v>
      </c>
      <c r="Q361" s="12" t="s">
        <v>1286</v>
      </c>
    </row>
    <row r="362" customFormat="false" ht="32.8" hidden="false" customHeight="false" outlineLevel="0" collapsed="false">
      <c r="A362" s="11" t="s">
        <v>1356</v>
      </c>
      <c r="B362" s="11" t="s">
        <v>14</v>
      </c>
      <c r="C362" s="11" t="s">
        <v>1042</v>
      </c>
      <c r="D362" s="12" t="s">
        <v>1357</v>
      </c>
      <c r="E362" s="12" t="s">
        <v>1358</v>
      </c>
      <c r="F362" s="12" t="s">
        <v>1357</v>
      </c>
      <c r="G362" s="11" t="s">
        <v>72</v>
      </c>
      <c r="H362" s="11" t="s">
        <v>8</v>
      </c>
      <c r="I362" s="13"/>
      <c r="J362" s="11" t="s">
        <v>49</v>
      </c>
      <c r="K362" s="12" t="s">
        <v>1139</v>
      </c>
      <c r="L362" s="12"/>
      <c r="M362" s="11" t="s">
        <v>50</v>
      </c>
      <c r="N362" s="12" t="s">
        <v>51</v>
      </c>
      <c r="O362" s="11" t="s">
        <v>28</v>
      </c>
      <c r="P362" s="11" t="s">
        <v>52</v>
      </c>
      <c r="Q362" s="12" t="s">
        <v>1286</v>
      </c>
    </row>
    <row r="363" customFormat="false" ht="32.8" hidden="false" customHeight="false" outlineLevel="0" collapsed="false">
      <c r="A363" s="11" t="s">
        <v>1359</v>
      </c>
      <c r="B363" s="11" t="s">
        <v>14</v>
      </c>
      <c r="C363" s="11" t="s">
        <v>1042</v>
      </c>
      <c r="D363" s="12" t="s">
        <v>1360</v>
      </c>
      <c r="E363" s="12" t="s">
        <v>1361</v>
      </c>
      <c r="F363" s="12" t="s">
        <v>1360</v>
      </c>
      <c r="G363" s="11" t="s">
        <v>72</v>
      </c>
      <c r="H363" s="11" t="s">
        <v>8</v>
      </c>
      <c r="I363" s="13"/>
      <c r="J363" s="11" t="s">
        <v>49</v>
      </c>
      <c r="K363" s="12" t="s">
        <v>1139</v>
      </c>
      <c r="L363" s="12"/>
      <c r="M363" s="11" t="s">
        <v>50</v>
      </c>
      <c r="N363" s="12" t="s">
        <v>51</v>
      </c>
      <c r="O363" s="11" t="s">
        <v>28</v>
      </c>
      <c r="P363" s="11" t="s">
        <v>52</v>
      </c>
      <c r="Q363" s="12" t="s">
        <v>1286</v>
      </c>
    </row>
    <row r="364" customFormat="false" ht="22.35" hidden="false" customHeight="false" outlineLevel="0" collapsed="false">
      <c r="A364" s="11" t="s">
        <v>1362</v>
      </c>
      <c r="B364" s="11" t="s">
        <v>14</v>
      </c>
      <c r="C364" s="11" t="s">
        <v>1042</v>
      </c>
      <c r="D364" s="12" t="s">
        <v>1363</v>
      </c>
      <c r="E364" s="12" t="s">
        <v>1364</v>
      </c>
      <c r="F364" s="12" t="s">
        <v>1363</v>
      </c>
      <c r="G364" s="11" t="s">
        <v>72</v>
      </c>
      <c r="H364" s="11" t="s">
        <v>8</v>
      </c>
      <c r="I364" s="13"/>
      <c r="J364" s="11" t="s">
        <v>49</v>
      </c>
      <c r="K364" s="12" t="s">
        <v>1139</v>
      </c>
      <c r="L364" s="12"/>
      <c r="M364" s="11" t="s">
        <v>50</v>
      </c>
      <c r="N364" s="12" t="s">
        <v>51</v>
      </c>
      <c r="O364" s="11" t="s">
        <v>28</v>
      </c>
      <c r="P364" s="11" t="s">
        <v>52</v>
      </c>
      <c r="Q364" s="12" t="s">
        <v>1286</v>
      </c>
    </row>
    <row r="365" customFormat="false" ht="32.8" hidden="false" customHeight="false" outlineLevel="0" collapsed="false">
      <c r="A365" s="11" t="s">
        <v>1365</v>
      </c>
      <c r="B365" s="11" t="s">
        <v>14</v>
      </c>
      <c r="C365" s="11" t="s">
        <v>1042</v>
      </c>
      <c r="D365" s="12" t="s">
        <v>1366</v>
      </c>
      <c r="E365" s="12" t="s">
        <v>1367</v>
      </c>
      <c r="F365" s="12" t="s">
        <v>1366</v>
      </c>
      <c r="G365" s="11" t="s">
        <v>72</v>
      </c>
      <c r="H365" s="11" t="s">
        <v>8</v>
      </c>
      <c r="I365" s="13"/>
      <c r="J365" s="11" t="s">
        <v>49</v>
      </c>
      <c r="K365" s="12" t="s">
        <v>1139</v>
      </c>
      <c r="L365" s="12"/>
      <c r="M365" s="11" t="s">
        <v>50</v>
      </c>
      <c r="N365" s="12" t="s">
        <v>51</v>
      </c>
      <c r="O365" s="11" t="s">
        <v>28</v>
      </c>
      <c r="P365" s="11" t="s">
        <v>52</v>
      </c>
      <c r="Q365" s="12" t="s">
        <v>1286</v>
      </c>
    </row>
    <row r="366" customFormat="false" ht="32.8" hidden="false" customHeight="false" outlineLevel="0" collapsed="false">
      <c r="A366" s="11" t="s">
        <v>1368</v>
      </c>
      <c r="B366" s="11" t="s">
        <v>14</v>
      </c>
      <c r="C366" s="11" t="s">
        <v>1042</v>
      </c>
      <c r="D366" s="12" t="s">
        <v>1369</v>
      </c>
      <c r="E366" s="12" t="s">
        <v>1370</v>
      </c>
      <c r="F366" s="12" t="s">
        <v>1369</v>
      </c>
      <c r="G366" s="11" t="s">
        <v>72</v>
      </c>
      <c r="H366" s="11" t="s">
        <v>8</v>
      </c>
      <c r="I366" s="13"/>
      <c r="J366" s="11" t="s">
        <v>49</v>
      </c>
      <c r="K366" s="12" t="s">
        <v>1139</v>
      </c>
      <c r="L366" s="12"/>
      <c r="M366" s="11" t="s">
        <v>50</v>
      </c>
      <c r="N366" s="12" t="s">
        <v>51</v>
      </c>
      <c r="O366" s="11" t="s">
        <v>28</v>
      </c>
      <c r="P366" s="11" t="s">
        <v>52</v>
      </c>
      <c r="Q366" s="12" t="s">
        <v>1286</v>
      </c>
    </row>
    <row r="367" customFormat="false" ht="22.35" hidden="false" customHeight="false" outlineLevel="0" collapsed="false">
      <c r="A367" s="11" t="s">
        <v>1371</v>
      </c>
      <c r="B367" s="11" t="s">
        <v>14</v>
      </c>
      <c r="C367" s="11" t="s">
        <v>1042</v>
      </c>
      <c r="D367" s="12" t="s">
        <v>1372</v>
      </c>
      <c r="E367" s="12" t="s">
        <v>1373</v>
      </c>
      <c r="F367" s="12" t="s">
        <v>1372</v>
      </c>
      <c r="G367" s="11" t="s">
        <v>72</v>
      </c>
      <c r="H367" s="11" t="s">
        <v>8</v>
      </c>
      <c r="I367" s="13"/>
      <c r="J367" s="11" t="s">
        <v>49</v>
      </c>
      <c r="K367" s="12" t="s">
        <v>1139</v>
      </c>
      <c r="L367" s="12"/>
      <c r="M367" s="11" t="s">
        <v>50</v>
      </c>
      <c r="N367" s="12" t="s">
        <v>51</v>
      </c>
      <c r="O367" s="11" t="s">
        <v>28</v>
      </c>
      <c r="P367" s="11" t="s">
        <v>52</v>
      </c>
      <c r="Q367" s="12" t="s">
        <v>1286</v>
      </c>
    </row>
    <row r="368" customFormat="false" ht="22.35" hidden="false" customHeight="false" outlineLevel="0" collapsed="false">
      <c r="A368" s="11" t="s">
        <v>1374</v>
      </c>
      <c r="B368" s="11" t="s">
        <v>14</v>
      </c>
      <c r="C368" s="11" t="s">
        <v>1042</v>
      </c>
      <c r="D368" s="12" t="s">
        <v>1375</v>
      </c>
      <c r="E368" s="12" t="s">
        <v>1376</v>
      </c>
      <c r="F368" s="12" t="s">
        <v>1375</v>
      </c>
      <c r="G368" s="11" t="s">
        <v>72</v>
      </c>
      <c r="H368" s="11" t="s">
        <v>8</v>
      </c>
      <c r="I368" s="13"/>
      <c r="J368" s="11" t="s">
        <v>49</v>
      </c>
      <c r="K368" s="12" t="s">
        <v>1139</v>
      </c>
      <c r="L368" s="12"/>
      <c r="M368" s="11" t="s">
        <v>50</v>
      </c>
      <c r="N368" s="12" t="s">
        <v>51</v>
      </c>
      <c r="O368" s="11" t="s">
        <v>28</v>
      </c>
      <c r="P368" s="11" t="s">
        <v>52</v>
      </c>
      <c r="Q368" s="12" t="s">
        <v>1286</v>
      </c>
    </row>
    <row r="369" customFormat="false" ht="32.8" hidden="false" customHeight="false" outlineLevel="0" collapsed="false">
      <c r="A369" s="11" t="s">
        <v>1377</v>
      </c>
      <c r="B369" s="11" t="s">
        <v>14</v>
      </c>
      <c r="C369" s="11" t="s">
        <v>1042</v>
      </c>
      <c r="D369" s="12" t="s">
        <v>1378</v>
      </c>
      <c r="E369" s="12" t="s">
        <v>1379</v>
      </c>
      <c r="F369" s="12" t="s">
        <v>1378</v>
      </c>
      <c r="G369" s="11" t="s">
        <v>72</v>
      </c>
      <c r="H369" s="11" t="s">
        <v>8</v>
      </c>
      <c r="I369" s="13"/>
      <c r="J369" s="11" t="s">
        <v>49</v>
      </c>
      <c r="K369" s="12" t="s">
        <v>1139</v>
      </c>
      <c r="L369" s="12"/>
      <c r="M369" s="11" t="s">
        <v>50</v>
      </c>
      <c r="N369" s="12" t="s">
        <v>51</v>
      </c>
      <c r="O369" s="11" t="s">
        <v>28</v>
      </c>
      <c r="P369" s="11" t="s">
        <v>52</v>
      </c>
      <c r="Q369" s="12" t="s">
        <v>1286</v>
      </c>
    </row>
    <row r="370" customFormat="false" ht="32.8" hidden="false" customHeight="false" outlineLevel="0" collapsed="false">
      <c r="A370" s="11" t="s">
        <v>1380</v>
      </c>
      <c r="B370" s="11" t="s">
        <v>14</v>
      </c>
      <c r="C370" s="11" t="s">
        <v>1042</v>
      </c>
      <c r="D370" s="12" t="s">
        <v>1381</v>
      </c>
      <c r="E370" s="12" t="s">
        <v>1382</v>
      </c>
      <c r="F370" s="12" t="s">
        <v>1381</v>
      </c>
      <c r="G370" s="11" t="s">
        <v>72</v>
      </c>
      <c r="H370" s="11" t="s">
        <v>8</v>
      </c>
      <c r="I370" s="13"/>
      <c r="J370" s="11" t="s">
        <v>49</v>
      </c>
      <c r="K370" s="12" t="s">
        <v>1139</v>
      </c>
      <c r="L370" s="12"/>
      <c r="M370" s="11" t="s">
        <v>50</v>
      </c>
      <c r="N370" s="12" t="s">
        <v>51</v>
      </c>
      <c r="O370" s="11" t="s">
        <v>28</v>
      </c>
      <c r="P370" s="11" t="s">
        <v>52</v>
      </c>
      <c r="Q370" s="12" t="s">
        <v>1286</v>
      </c>
    </row>
    <row r="371" customFormat="false" ht="32.8" hidden="false" customHeight="false" outlineLevel="0" collapsed="false">
      <c r="A371" s="11" t="s">
        <v>1383</v>
      </c>
      <c r="B371" s="11" t="s">
        <v>14</v>
      </c>
      <c r="C371" s="11" t="s">
        <v>1042</v>
      </c>
      <c r="D371" s="12" t="s">
        <v>1384</v>
      </c>
      <c r="E371" s="12" t="s">
        <v>1385</v>
      </c>
      <c r="F371" s="12" t="s">
        <v>1384</v>
      </c>
      <c r="G371" s="11" t="s">
        <v>72</v>
      </c>
      <c r="H371" s="11" t="s">
        <v>8</v>
      </c>
      <c r="I371" s="13"/>
      <c r="J371" s="11" t="s">
        <v>49</v>
      </c>
      <c r="K371" s="12" t="s">
        <v>1139</v>
      </c>
      <c r="L371" s="12"/>
      <c r="M371" s="11" t="s">
        <v>50</v>
      </c>
      <c r="N371" s="12" t="s">
        <v>51</v>
      </c>
      <c r="O371" s="11" t="s">
        <v>28</v>
      </c>
      <c r="P371" s="11" t="s">
        <v>52</v>
      </c>
      <c r="Q371" s="12" t="s">
        <v>1286</v>
      </c>
    </row>
    <row r="372" customFormat="false" ht="32.8" hidden="false" customHeight="false" outlineLevel="0" collapsed="false">
      <c r="A372" s="11" t="s">
        <v>1386</v>
      </c>
      <c r="B372" s="11" t="s">
        <v>14</v>
      </c>
      <c r="C372" s="11" t="s">
        <v>1042</v>
      </c>
      <c r="D372" s="12" t="s">
        <v>1387</v>
      </c>
      <c r="E372" s="12" t="s">
        <v>1388</v>
      </c>
      <c r="F372" s="12" t="s">
        <v>1387</v>
      </c>
      <c r="G372" s="11" t="s">
        <v>72</v>
      </c>
      <c r="H372" s="11" t="s">
        <v>8</v>
      </c>
      <c r="I372" s="13"/>
      <c r="J372" s="11" t="s">
        <v>49</v>
      </c>
      <c r="K372" s="12" t="s">
        <v>1139</v>
      </c>
      <c r="L372" s="12"/>
      <c r="M372" s="11" t="s">
        <v>50</v>
      </c>
      <c r="N372" s="12" t="s">
        <v>51</v>
      </c>
      <c r="O372" s="11" t="s">
        <v>28</v>
      </c>
      <c r="P372" s="11" t="s">
        <v>52</v>
      </c>
      <c r="Q372" s="12" t="s">
        <v>1286</v>
      </c>
    </row>
    <row r="373" customFormat="false" ht="32.8" hidden="false" customHeight="false" outlineLevel="0" collapsed="false">
      <c r="A373" s="11" t="s">
        <v>1389</v>
      </c>
      <c r="B373" s="11" t="s">
        <v>14</v>
      </c>
      <c r="C373" s="11" t="s">
        <v>1042</v>
      </c>
      <c r="D373" s="12" t="s">
        <v>1390</v>
      </c>
      <c r="E373" s="12" t="s">
        <v>1391</v>
      </c>
      <c r="F373" s="12" t="s">
        <v>1390</v>
      </c>
      <c r="G373" s="11" t="s">
        <v>72</v>
      </c>
      <c r="H373" s="11" t="s">
        <v>8</v>
      </c>
      <c r="I373" s="13"/>
      <c r="J373" s="11" t="s">
        <v>49</v>
      </c>
      <c r="K373" s="12" t="s">
        <v>1139</v>
      </c>
      <c r="L373" s="12"/>
      <c r="M373" s="11" t="s">
        <v>50</v>
      </c>
      <c r="N373" s="12" t="s">
        <v>51</v>
      </c>
      <c r="O373" s="11" t="s">
        <v>28</v>
      </c>
      <c r="P373" s="11" t="s">
        <v>52</v>
      </c>
      <c r="Q373" s="12" t="s">
        <v>1286</v>
      </c>
    </row>
    <row r="374" customFormat="false" ht="32.8" hidden="false" customHeight="false" outlineLevel="0" collapsed="false">
      <c r="A374" s="11" t="s">
        <v>1392</v>
      </c>
      <c r="B374" s="11" t="s">
        <v>14</v>
      </c>
      <c r="C374" s="11" t="s">
        <v>1042</v>
      </c>
      <c r="D374" s="12" t="s">
        <v>1393</v>
      </c>
      <c r="E374" s="12" t="s">
        <v>1394</v>
      </c>
      <c r="F374" s="12" t="s">
        <v>1393</v>
      </c>
      <c r="G374" s="11" t="s">
        <v>72</v>
      </c>
      <c r="H374" s="11" t="s">
        <v>8</v>
      </c>
      <c r="I374" s="13"/>
      <c r="J374" s="11" t="s">
        <v>49</v>
      </c>
      <c r="K374" s="12" t="s">
        <v>1139</v>
      </c>
      <c r="L374" s="12"/>
      <c r="M374" s="11" t="s">
        <v>50</v>
      </c>
      <c r="N374" s="12" t="s">
        <v>51</v>
      </c>
      <c r="O374" s="11" t="s">
        <v>28</v>
      </c>
      <c r="P374" s="11" t="s">
        <v>52</v>
      </c>
      <c r="Q374" s="12" t="s">
        <v>1286</v>
      </c>
    </row>
    <row r="375" customFormat="false" ht="32.8" hidden="false" customHeight="false" outlineLevel="0" collapsed="false">
      <c r="A375" s="11" t="s">
        <v>1395</v>
      </c>
      <c r="B375" s="11" t="s">
        <v>14</v>
      </c>
      <c r="C375" s="11" t="s">
        <v>1042</v>
      </c>
      <c r="D375" s="12" t="s">
        <v>1396</v>
      </c>
      <c r="E375" s="12" t="s">
        <v>1397</v>
      </c>
      <c r="F375" s="12" t="s">
        <v>1396</v>
      </c>
      <c r="G375" s="11" t="s">
        <v>72</v>
      </c>
      <c r="H375" s="11" t="s">
        <v>8</v>
      </c>
      <c r="I375" s="13"/>
      <c r="J375" s="11" t="s">
        <v>49</v>
      </c>
      <c r="K375" s="12" t="s">
        <v>1139</v>
      </c>
      <c r="L375" s="12"/>
      <c r="M375" s="11" t="s">
        <v>50</v>
      </c>
      <c r="N375" s="12" t="s">
        <v>51</v>
      </c>
      <c r="O375" s="11" t="s">
        <v>28</v>
      </c>
      <c r="P375" s="11" t="s">
        <v>52</v>
      </c>
      <c r="Q375" s="12" t="s">
        <v>1286</v>
      </c>
    </row>
    <row r="376" customFormat="false" ht="32.8" hidden="false" customHeight="false" outlineLevel="0" collapsed="false">
      <c r="A376" s="11" t="s">
        <v>1398</v>
      </c>
      <c r="B376" s="11" t="s">
        <v>14</v>
      </c>
      <c r="C376" s="11" t="s">
        <v>1042</v>
      </c>
      <c r="D376" s="12" t="s">
        <v>1399</v>
      </c>
      <c r="E376" s="12" t="s">
        <v>1400</v>
      </c>
      <c r="F376" s="12" t="s">
        <v>1399</v>
      </c>
      <c r="G376" s="11" t="s">
        <v>72</v>
      </c>
      <c r="H376" s="11" t="s">
        <v>8</v>
      </c>
      <c r="I376" s="13"/>
      <c r="J376" s="11" t="s">
        <v>49</v>
      </c>
      <c r="K376" s="12" t="s">
        <v>1139</v>
      </c>
      <c r="L376" s="12"/>
      <c r="M376" s="11" t="s">
        <v>50</v>
      </c>
      <c r="N376" s="12" t="s">
        <v>51</v>
      </c>
      <c r="O376" s="11" t="s">
        <v>28</v>
      </c>
      <c r="P376" s="11" t="s">
        <v>52</v>
      </c>
      <c r="Q376" s="12" t="s">
        <v>1286</v>
      </c>
    </row>
    <row r="377" customFormat="false" ht="32.8" hidden="false" customHeight="false" outlineLevel="0" collapsed="false">
      <c r="A377" s="11" t="s">
        <v>1401</v>
      </c>
      <c r="B377" s="11" t="s">
        <v>14</v>
      </c>
      <c r="C377" s="11" t="s">
        <v>1042</v>
      </c>
      <c r="D377" s="12" t="s">
        <v>1402</v>
      </c>
      <c r="E377" s="12" t="s">
        <v>1403</v>
      </c>
      <c r="F377" s="12" t="s">
        <v>1402</v>
      </c>
      <c r="G377" s="11" t="s">
        <v>72</v>
      </c>
      <c r="H377" s="11" t="s">
        <v>8</v>
      </c>
      <c r="I377" s="13"/>
      <c r="J377" s="11" t="s">
        <v>49</v>
      </c>
      <c r="K377" s="12" t="s">
        <v>1139</v>
      </c>
      <c r="L377" s="12"/>
      <c r="M377" s="11" t="s">
        <v>50</v>
      </c>
      <c r="N377" s="12" t="s">
        <v>51</v>
      </c>
      <c r="O377" s="11" t="s">
        <v>28</v>
      </c>
      <c r="P377" s="11" t="s">
        <v>52</v>
      </c>
      <c r="Q377" s="12" t="s">
        <v>1286</v>
      </c>
    </row>
    <row r="378" customFormat="false" ht="32.8" hidden="false" customHeight="false" outlineLevel="0" collapsed="false">
      <c r="A378" s="11" t="s">
        <v>1404</v>
      </c>
      <c r="B378" s="11" t="s">
        <v>14</v>
      </c>
      <c r="C378" s="11" t="s">
        <v>1042</v>
      </c>
      <c r="D378" s="12" t="s">
        <v>1405</v>
      </c>
      <c r="E378" s="12" t="s">
        <v>1406</v>
      </c>
      <c r="F378" s="12" t="s">
        <v>1405</v>
      </c>
      <c r="G378" s="11" t="s">
        <v>72</v>
      </c>
      <c r="H378" s="11" t="s">
        <v>8</v>
      </c>
      <c r="I378" s="13"/>
      <c r="J378" s="11" t="s">
        <v>49</v>
      </c>
      <c r="K378" s="12" t="s">
        <v>1139</v>
      </c>
      <c r="L378" s="12"/>
      <c r="M378" s="11" t="s">
        <v>50</v>
      </c>
      <c r="N378" s="12" t="s">
        <v>51</v>
      </c>
      <c r="O378" s="11" t="s">
        <v>28</v>
      </c>
      <c r="P378" s="11" t="s">
        <v>52</v>
      </c>
      <c r="Q378" s="12" t="s">
        <v>1286</v>
      </c>
    </row>
    <row r="379" customFormat="false" ht="22.35" hidden="false" customHeight="false" outlineLevel="0" collapsed="false">
      <c r="A379" s="11" t="s">
        <v>1407</v>
      </c>
      <c r="B379" s="11" t="s">
        <v>14</v>
      </c>
      <c r="C379" s="11" t="s">
        <v>1042</v>
      </c>
      <c r="D379" s="12" t="s">
        <v>1408</v>
      </c>
      <c r="E379" s="12" t="s">
        <v>1409</v>
      </c>
      <c r="F379" s="12" t="s">
        <v>1408</v>
      </c>
      <c r="G379" s="11" t="s">
        <v>72</v>
      </c>
      <c r="H379" s="11" t="s">
        <v>8</v>
      </c>
      <c r="I379" s="13"/>
      <c r="J379" s="11" t="s">
        <v>49</v>
      </c>
      <c r="K379" s="12" t="s">
        <v>1139</v>
      </c>
      <c r="L379" s="12"/>
      <c r="M379" s="11" t="s">
        <v>50</v>
      </c>
      <c r="N379" s="12" t="s">
        <v>51</v>
      </c>
      <c r="O379" s="11" t="s">
        <v>28</v>
      </c>
      <c r="P379" s="11" t="s">
        <v>52</v>
      </c>
      <c r="Q379" s="12" t="s">
        <v>1286</v>
      </c>
    </row>
    <row r="380" customFormat="false" ht="32.8" hidden="false" customHeight="false" outlineLevel="0" collapsed="false">
      <c r="A380" s="11" t="s">
        <v>1410</v>
      </c>
      <c r="B380" s="11" t="s">
        <v>14</v>
      </c>
      <c r="C380" s="11" t="s">
        <v>1042</v>
      </c>
      <c r="D380" s="12" t="s">
        <v>1411</v>
      </c>
      <c r="E380" s="12" t="s">
        <v>1412</v>
      </c>
      <c r="F380" s="12" t="s">
        <v>1411</v>
      </c>
      <c r="G380" s="11" t="s">
        <v>72</v>
      </c>
      <c r="H380" s="11" t="s">
        <v>8</v>
      </c>
      <c r="I380" s="13"/>
      <c r="J380" s="11" t="s">
        <v>49</v>
      </c>
      <c r="K380" s="12" t="s">
        <v>1139</v>
      </c>
      <c r="L380" s="12"/>
      <c r="M380" s="11" t="s">
        <v>50</v>
      </c>
      <c r="N380" s="12" t="s">
        <v>51</v>
      </c>
      <c r="O380" s="11" t="s">
        <v>28</v>
      </c>
      <c r="P380" s="11" t="s">
        <v>52</v>
      </c>
      <c r="Q380" s="12" t="s">
        <v>1286</v>
      </c>
    </row>
    <row r="381" customFormat="false" ht="32.8" hidden="false" customHeight="false" outlineLevel="0" collapsed="false">
      <c r="A381" s="11" t="s">
        <v>1413</v>
      </c>
      <c r="B381" s="11" t="s">
        <v>14</v>
      </c>
      <c r="C381" s="11" t="s">
        <v>1042</v>
      </c>
      <c r="D381" s="12" t="s">
        <v>1414</v>
      </c>
      <c r="E381" s="12" t="s">
        <v>1415</v>
      </c>
      <c r="F381" s="12" t="s">
        <v>1414</v>
      </c>
      <c r="G381" s="11" t="s">
        <v>72</v>
      </c>
      <c r="H381" s="11" t="s">
        <v>8</v>
      </c>
      <c r="I381" s="13"/>
      <c r="J381" s="11" t="s">
        <v>49</v>
      </c>
      <c r="K381" s="12" t="s">
        <v>1139</v>
      </c>
      <c r="L381" s="12"/>
      <c r="M381" s="11" t="s">
        <v>50</v>
      </c>
      <c r="N381" s="12" t="s">
        <v>51</v>
      </c>
      <c r="O381" s="11" t="s">
        <v>28</v>
      </c>
      <c r="P381" s="11" t="s">
        <v>52</v>
      </c>
      <c r="Q381" s="12" t="s">
        <v>1286</v>
      </c>
    </row>
    <row r="382" customFormat="false" ht="22.35" hidden="false" customHeight="false" outlineLevel="0" collapsed="false">
      <c r="A382" s="11" t="s">
        <v>1416</v>
      </c>
      <c r="B382" s="11" t="s">
        <v>14</v>
      </c>
      <c r="C382" s="11" t="s">
        <v>1042</v>
      </c>
      <c r="D382" s="12" t="s">
        <v>1417</v>
      </c>
      <c r="E382" s="12" t="s">
        <v>1418</v>
      </c>
      <c r="F382" s="12" t="s">
        <v>1417</v>
      </c>
      <c r="G382" s="11" t="s">
        <v>72</v>
      </c>
      <c r="H382" s="11" t="s">
        <v>8</v>
      </c>
      <c r="I382" s="13"/>
      <c r="J382" s="11" t="s">
        <v>49</v>
      </c>
      <c r="K382" s="12" t="s">
        <v>1139</v>
      </c>
      <c r="L382" s="12"/>
      <c r="M382" s="11" t="s">
        <v>50</v>
      </c>
      <c r="N382" s="12" t="s">
        <v>51</v>
      </c>
      <c r="O382" s="11" t="s">
        <v>28</v>
      </c>
      <c r="P382" s="11" t="s">
        <v>52</v>
      </c>
      <c r="Q382" s="12" t="s">
        <v>1286</v>
      </c>
    </row>
    <row r="383" customFormat="false" ht="32.8" hidden="false" customHeight="false" outlineLevel="0" collapsed="false">
      <c r="A383" s="11" t="s">
        <v>1419</v>
      </c>
      <c r="B383" s="11" t="s">
        <v>14</v>
      </c>
      <c r="C383" s="11" t="s">
        <v>1042</v>
      </c>
      <c r="D383" s="12" t="s">
        <v>1420</v>
      </c>
      <c r="E383" s="12" t="s">
        <v>1421</v>
      </c>
      <c r="F383" s="12" t="s">
        <v>1420</v>
      </c>
      <c r="G383" s="11" t="s">
        <v>72</v>
      </c>
      <c r="H383" s="11" t="s">
        <v>8</v>
      </c>
      <c r="I383" s="13"/>
      <c r="J383" s="11" t="s">
        <v>49</v>
      </c>
      <c r="K383" s="12" t="s">
        <v>1139</v>
      </c>
      <c r="L383" s="12"/>
      <c r="M383" s="11" t="s">
        <v>50</v>
      </c>
      <c r="N383" s="12" t="s">
        <v>51</v>
      </c>
      <c r="O383" s="11" t="s">
        <v>28</v>
      </c>
      <c r="P383" s="11" t="s">
        <v>52</v>
      </c>
      <c r="Q383" s="12" t="s">
        <v>1286</v>
      </c>
    </row>
    <row r="384" customFormat="false" ht="32.8" hidden="false" customHeight="false" outlineLevel="0" collapsed="false">
      <c r="A384" s="11" t="s">
        <v>1422</v>
      </c>
      <c r="B384" s="11" t="s">
        <v>14</v>
      </c>
      <c r="C384" s="11" t="s">
        <v>1042</v>
      </c>
      <c r="D384" s="12" t="s">
        <v>1423</v>
      </c>
      <c r="E384" s="12" t="s">
        <v>1424</v>
      </c>
      <c r="F384" s="12" t="s">
        <v>1423</v>
      </c>
      <c r="G384" s="11" t="s">
        <v>72</v>
      </c>
      <c r="H384" s="11" t="s">
        <v>8</v>
      </c>
      <c r="I384" s="13"/>
      <c r="J384" s="11" t="s">
        <v>49</v>
      </c>
      <c r="K384" s="12" t="s">
        <v>1139</v>
      </c>
      <c r="L384" s="12"/>
      <c r="M384" s="11" t="s">
        <v>50</v>
      </c>
      <c r="N384" s="12" t="s">
        <v>51</v>
      </c>
      <c r="O384" s="11" t="s">
        <v>28</v>
      </c>
      <c r="P384" s="11" t="s">
        <v>52</v>
      </c>
      <c r="Q384" s="12" t="s">
        <v>1286</v>
      </c>
    </row>
    <row r="385" customFormat="false" ht="22.35" hidden="false" customHeight="false" outlineLevel="0" collapsed="false">
      <c r="A385" s="11" t="s">
        <v>1425</v>
      </c>
      <c r="B385" s="11" t="s">
        <v>14</v>
      </c>
      <c r="C385" s="11" t="s">
        <v>1042</v>
      </c>
      <c r="D385" s="12" t="s">
        <v>1426</v>
      </c>
      <c r="E385" s="12" t="s">
        <v>1427</v>
      </c>
      <c r="F385" s="12" t="s">
        <v>1426</v>
      </c>
      <c r="G385" s="11" t="s">
        <v>72</v>
      </c>
      <c r="H385" s="11" t="s">
        <v>8</v>
      </c>
      <c r="I385" s="13"/>
      <c r="J385" s="11" t="s">
        <v>49</v>
      </c>
      <c r="K385" s="12" t="s">
        <v>1139</v>
      </c>
      <c r="L385" s="12"/>
      <c r="M385" s="11" t="s">
        <v>50</v>
      </c>
      <c r="N385" s="12" t="s">
        <v>51</v>
      </c>
      <c r="O385" s="11" t="s">
        <v>28</v>
      </c>
      <c r="P385" s="11" t="s">
        <v>52</v>
      </c>
      <c r="Q385" s="12" t="s">
        <v>1286</v>
      </c>
    </row>
    <row r="386" customFormat="false" ht="22.35" hidden="false" customHeight="false" outlineLevel="0" collapsed="false">
      <c r="A386" s="11" t="s">
        <v>1428</v>
      </c>
      <c r="B386" s="11" t="s">
        <v>14</v>
      </c>
      <c r="C386" s="11" t="s">
        <v>1042</v>
      </c>
      <c r="D386" s="12" t="s">
        <v>1429</v>
      </c>
      <c r="E386" s="12" t="s">
        <v>1430</v>
      </c>
      <c r="F386" s="12" t="s">
        <v>1429</v>
      </c>
      <c r="G386" s="11" t="s">
        <v>72</v>
      </c>
      <c r="H386" s="11" t="s">
        <v>8</v>
      </c>
      <c r="I386" s="13"/>
      <c r="J386" s="11" t="s">
        <v>49</v>
      </c>
      <c r="K386" s="12" t="s">
        <v>1139</v>
      </c>
      <c r="L386" s="12"/>
      <c r="M386" s="11" t="s">
        <v>50</v>
      </c>
      <c r="N386" s="12" t="s">
        <v>51</v>
      </c>
      <c r="O386" s="11" t="s">
        <v>28</v>
      </c>
      <c r="P386" s="11" t="s">
        <v>52</v>
      </c>
      <c r="Q386" s="12" t="s">
        <v>1286</v>
      </c>
    </row>
    <row r="387" customFormat="false" ht="32.8" hidden="false" customHeight="false" outlineLevel="0" collapsed="false">
      <c r="A387" s="11" t="s">
        <v>1431</v>
      </c>
      <c r="B387" s="11" t="s">
        <v>14</v>
      </c>
      <c r="C387" s="11" t="s">
        <v>1042</v>
      </c>
      <c r="D387" s="12" t="s">
        <v>1432</v>
      </c>
      <c r="E387" s="12" t="s">
        <v>1433</v>
      </c>
      <c r="F387" s="12" t="s">
        <v>1432</v>
      </c>
      <c r="G387" s="11" t="s">
        <v>72</v>
      </c>
      <c r="H387" s="11" t="s">
        <v>8</v>
      </c>
      <c r="I387" s="13"/>
      <c r="J387" s="11" t="s">
        <v>49</v>
      </c>
      <c r="K387" s="12" t="s">
        <v>1139</v>
      </c>
      <c r="L387" s="12"/>
      <c r="M387" s="11" t="s">
        <v>50</v>
      </c>
      <c r="N387" s="12" t="s">
        <v>51</v>
      </c>
      <c r="O387" s="11" t="s">
        <v>28</v>
      </c>
      <c r="P387" s="11" t="s">
        <v>52</v>
      </c>
      <c r="Q387" s="12" t="s">
        <v>1286</v>
      </c>
    </row>
    <row r="388" customFormat="false" ht="22.35" hidden="false" customHeight="false" outlineLevel="0" collapsed="false">
      <c r="A388" s="11" t="s">
        <v>1434</v>
      </c>
      <c r="B388" s="11" t="s">
        <v>14</v>
      </c>
      <c r="C388" s="11" t="s">
        <v>1042</v>
      </c>
      <c r="D388" s="12" t="s">
        <v>1435</v>
      </c>
      <c r="E388" s="12" t="s">
        <v>1436</v>
      </c>
      <c r="F388" s="12" t="s">
        <v>1435</v>
      </c>
      <c r="G388" s="11" t="s">
        <v>72</v>
      </c>
      <c r="H388" s="11" t="s">
        <v>8</v>
      </c>
      <c r="I388" s="13"/>
      <c r="J388" s="11" t="s">
        <v>49</v>
      </c>
      <c r="K388" s="12" t="s">
        <v>1139</v>
      </c>
      <c r="L388" s="12"/>
      <c r="M388" s="11" t="s">
        <v>50</v>
      </c>
      <c r="N388" s="12" t="s">
        <v>51</v>
      </c>
      <c r="O388" s="11" t="s">
        <v>28</v>
      </c>
      <c r="P388" s="11" t="s">
        <v>52</v>
      </c>
      <c r="Q388" s="12" t="s">
        <v>1286</v>
      </c>
    </row>
    <row r="389" customFormat="false" ht="32.8" hidden="false" customHeight="false" outlineLevel="0" collapsed="false">
      <c r="A389" s="11" t="s">
        <v>1437</v>
      </c>
      <c r="B389" s="11" t="s">
        <v>14</v>
      </c>
      <c r="C389" s="11" t="s">
        <v>1042</v>
      </c>
      <c r="D389" s="12" t="s">
        <v>1438</v>
      </c>
      <c r="E389" s="12" t="s">
        <v>1439</v>
      </c>
      <c r="F389" s="12" t="s">
        <v>1438</v>
      </c>
      <c r="G389" s="11" t="s">
        <v>72</v>
      </c>
      <c r="H389" s="11" t="s">
        <v>8</v>
      </c>
      <c r="I389" s="13"/>
      <c r="J389" s="11" t="s">
        <v>49</v>
      </c>
      <c r="K389" s="12" t="s">
        <v>1139</v>
      </c>
      <c r="L389" s="12"/>
      <c r="M389" s="11" t="s">
        <v>50</v>
      </c>
      <c r="N389" s="12" t="s">
        <v>51</v>
      </c>
      <c r="O389" s="11" t="s">
        <v>28</v>
      </c>
      <c r="P389" s="11" t="s">
        <v>52</v>
      </c>
      <c r="Q389" s="12" t="s">
        <v>1286</v>
      </c>
    </row>
    <row r="390" customFormat="false" ht="32.8" hidden="false" customHeight="false" outlineLevel="0" collapsed="false">
      <c r="A390" s="11" t="s">
        <v>1440</v>
      </c>
      <c r="B390" s="11" t="s">
        <v>14</v>
      </c>
      <c r="C390" s="11" t="s">
        <v>1042</v>
      </c>
      <c r="D390" s="12" t="s">
        <v>1441</v>
      </c>
      <c r="E390" s="12" t="s">
        <v>1442</v>
      </c>
      <c r="F390" s="12" t="s">
        <v>1441</v>
      </c>
      <c r="G390" s="11" t="s">
        <v>72</v>
      </c>
      <c r="H390" s="11" t="s">
        <v>8</v>
      </c>
      <c r="I390" s="13"/>
      <c r="J390" s="11" t="s">
        <v>49</v>
      </c>
      <c r="K390" s="12" t="s">
        <v>1139</v>
      </c>
      <c r="L390" s="12"/>
      <c r="M390" s="11" t="s">
        <v>50</v>
      </c>
      <c r="N390" s="12" t="s">
        <v>51</v>
      </c>
      <c r="O390" s="11" t="s">
        <v>28</v>
      </c>
      <c r="P390" s="11" t="s">
        <v>52</v>
      </c>
      <c r="Q390" s="12" t="s">
        <v>1286</v>
      </c>
    </row>
    <row r="391" customFormat="false" ht="32.8" hidden="false" customHeight="false" outlineLevel="0" collapsed="false">
      <c r="A391" s="11" t="s">
        <v>1443</v>
      </c>
      <c r="B391" s="11" t="s">
        <v>14</v>
      </c>
      <c r="C391" s="11" t="s">
        <v>1042</v>
      </c>
      <c r="D391" s="12" t="s">
        <v>1444</v>
      </c>
      <c r="E391" s="12" t="s">
        <v>1445</v>
      </c>
      <c r="F391" s="12" t="s">
        <v>1444</v>
      </c>
      <c r="G391" s="11" t="s">
        <v>72</v>
      </c>
      <c r="H391" s="11" t="s">
        <v>8</v>
      </c>
      <c r="I391" s="13"/>
      <c r="J391" s="11" t="s">
        <v>49</v>
      </c>
      <c r="K391" s="12" t="s">
        <v>1139</v>
      </c>
      <c r="L391" s="12"/>
      <c r="M391" s="11" t="s">
        <v>50</v>
      </c>
      <c r="N391" s="12" t="s">
        <v>51</v>
      </c>
      <c r="O391" s="11" t="s">
        <v>28</v>
      </c>
      <c r="P391" s="11" t="s">
        <v>52</v>
      </c>
      <c r="Q391" s="12" t="s">
        <v>1286</v>
      </c>
    </row>
    <row r="392" customFormat="false" ht="32.8" hidden="false" customHeight="false" outlineLevel="0" collapsed="false">
      <c r="A392" s="11" t="s">
        <v>1446</v>
      </c>
      <c r="B392" s="11" t="s">
        <v>14</v>
      </c>
      <c r="C392" s="11" t="s">
        <v>1042</v>
      </c>
      <c r="D392" s="12" t="s">
        <v>1447</v>
      </c>
      <c r="E392" s="12" t="s">
        <v>1448</v>
      </c>
      <c r="F392" s="12" t="s">
        <v>1447</v>
      </c>
      <c r="G392" s="11" t="s">
        <v>72</v>
      </c>
      <c r="H392" s="11" t="s">
        <v>8</v>
      </c>
      <c r="I392" s="13"/>
      <c r="J392" s="11" t="s">
        <v>49</v>
      </c>
      <c r="K392" s="12" t="s">
        <v>1139</v>
      </c>
      <c r="L392" s="12"/>
      <c r="M392" s="11" t="s">
        <v>50</v>
      </c>
      <c r="N392" s="12" t="s">
        <v>51</v>
      </c>
      <c r="O392" s="11" t="s">
        <v>28</v>
      </c>
      <c r="P392" s="11" t="s">
        <v>52</v>
      </c>
      <c r="Q392" s="12" t="s">
        <v>1286</v>
      </c>
    </row>
    <row r="393" customFormat="false" ht="32.8" hidden="false" customHeight="false" outlineLevel="0" collapsed="false">
      <c r="A393" s="11" t="s">
        <v>1449</v>
      </c>
      <c r="B393" s="11" t="s">
        <v>14</v>
      </c>
      <c r="C393" s="11" t="s">
        <v>1042</v>
      </c>
      <c r="D393" s="12" t="s">
        <v>1450</v>
      </c>
      <c r="E393" s="12" t="s">
        <v>1451</v>
      </c>
      <c r="F393" s="12" t="s">
        <v>1450</v>
      </c>
      <c r="G393" s="11" t="s">
        <v>72</v>
      </c>
      <c r="H393" s="11" t="s">
        <v>8</v>
      </c>
      <c r="I393" s="13"/>
      <c r="J393" s="11" t="s">
        <v>49</v>
      </c>
      <c r="K393" s="12" t="s">
        <v>1139</v>
      </c>
      <c r="L393" s="12"/>
      <c r="M393" s="11" t="s">
        <v>50</v>
      </c>
      <c r="N393" s="12" t="s">
        <v>51</v>
      </c>
      <c r="O393" s="11" t="s">
        <v>28</v>
      </c>
      <c r="P393" s="11" t="s">
        <v>52</v>
      </c>
      <c r="Q393" s="12" t="s">
        <v>1286</v>
      </c>
    </row>
    <row r="394" customFormat="false" ht="22.35" hidden="false" customHeight="false" outlineLevel="0" collapsed="false">
      <c r="A394" s="11" t="s">
        <v>1452</v>
      </c>
      <c r="B394" s="11" t="s">
        <v>14</v>
      </c>
      <c r="C394" s="11" t="s">
        <v>1042</v>
      </c>
      <c r="D394" s="12" t="s">
        <v>1453</v>
      </c>
      <c r="E394" s="12" t="s">
        <v>1454</v>
      </c>
      <c r="F394" s="12" t="s">
        <v>1453</v>
      </c>
      <c r="G394" s="11" t="s">
        <v>72</v>
      </c>
      <c r="H394" s="11" t="s">
        <v>8</v>
      </c>
      <c r="I394" s="13"/>
      <c r="J394" s="11" t="s">
        <v>49</v>
      </c>
      <c r="K394" s="12" t="s">
        <v>1139</v>
      </c>
      <c r="L394" s="12"/>
      <c r="M394" s="11" t="s">
        <v>50</v>
      </c>
      <c r="N394" s="12" t="s">
        <v>51</v>
      </c>
      <c r="O394" s="11" t="s">
        <v>28</v>
      </c>
      <c r="P394" s="11" t="s">
        <v>52</v>
      </c>
      <c r="Q394" s="12" t="s">
        <v>1286</v>
      </c>
    </row>
    <row r="395" customFormat="false" ht="22.35" hidden="false" customHeight="false" outlineLevel="0" collapsed="false">
      <c r="A395" s="11" t="s">
        <v>1455</v>
      </c>
      <c r="B395" s="11" t="s">
        <v>14</v>
      </c>
      <c r="C395" s="11" t="s">
        <v>1042</v>
      </c>
      <c r="D395" s="12" t="s">
        <v>1450</v>
      </c>
      <c r="E395" s="12" t="s">
        <v>1456</v>
      </c>
      <c r="F395" s="12" t="s">
        <v>1450</v>
      </c>
      <c r="G395" s="11" t="s">
        <v>72</v>
      </c>
      <c r="H395" s="11" t="s">
        <v>8</v>
      </c>
      <c r="I395" s="13"/>
      <c r="J395" s="11" t="s">
        <v>49</v>
      </c>
      <c r="K395" s="12" t="s">
        <v>1139</v>
      </c>
      <c r="L395" s="12"/>
      <c r="M395" s="11" t="s">
        <v>50</v>
      </c>
      <c r="N395" s="12" t="s">
        <v>51</v>
      </c>
      <c r="O395" s="11" t="s">
        <v>28</v>
      </c>
      <c r="P395" s="11" t="s">
        <v>52</v>
      </c>
      <c r="Q395" s="12" t="s">
        <v>1286</v>
      </c>
    </row>
    <row r="396" customFormat="false" ht="22.35" hidden="false" customHeight="false" outlineLevel="0" collapsed="false">
      <c r="A396" s="11" t="s">
        <v>1457</v>
      </c>
      <c r="B396" s="11" t="s">
        <v>14</v>
      </c>
      <c r="C396" s="11" t="s">
        <v>1042</v>
      </c>
      <c r="D396" s="12" t="s">
        <v>1458</v>
      </c>
      <c r="E396" s="12" t="s">
        <v>1459</v>
      </c>
      <c r="F396" s="12" t="s">
        <v>1458</v>
      </c>
      <c r="G396" s="11" t="s">
        <v>72</v>
      </c>
      <c r="H396" s="11" t="s">
        <v>8</v>
      </c>
      <c r="I396" s="13"/>
      <c r="J396" s="11" t="s">
        <v>49</v>
      </c>
      <c r="K396" s="12" t="s">
        <v>1139</v>
      </c>
      <c r="L396" s="12"/>
      <c r="M396" s="11" t="s">
        <v>50</v>
      </c>
      <c r="N396" s="12" t="s">
        <v>51</v>
      </c>
      <c r="O396" s="11" t="s">
        <v>28</v>
      </c>
      <c r="P396" s="11" t="s">
        <v>52</v>
      </c>
      <c r="Q396" s="12" t="s">
        <v>1286</v>
      </c>
    </row>
    <row r="397" customFormat="false" ht="22.35" hidden="false" customHeight="false" outlineLevel="0" collapsed="false">
      <c r="A397" s="11" t="s">
        <v>1460</v>
      </c>
      <c r="B397" s="11" t="s">
        <v>14</v>
      </c>
      <c r="C397" s="11" t="s">
        <v>1042</v>
      </c>
      <c r="D397" s="12" t="s">
        <v>1461</v>
      </c>
      <c r="E397" s="12" t="s">
        <v>1462</v>
      </c>
      <c r="F397" s="12" t="s">
        <v>1461</v>
      </c>
      <c r="G397" s="11" t="s">
        <v>72</v>
      </c>
      <c r="H397" s="11" t="s">
        <v>8</v>
      </c>
      <c r="I397" s="13"/>
      <c r="J397" s="11" t="s">
        <v>49</v>
      </c>
      <c r="K397" s="12" t="s">
        <v>1139</v>
      </c>
      <c r="L397" s="12"/>
      <c r="M397" s="11" t="s">
        <v>50</v>
      </c>
      <c r="N397" s="12" t="s">
        <v>51</v>
      </c>
      <c r="O397" s="11" t="s">
        <v>28</v>
      </c>
      <c r="P397" s="11" t="s">
        <v>52</v>
      </c>
      <c r="Q397" s="12" t="s">
        <v>1286</v>
      </c>
    </row>
    <row r="398" customFormat="false" ht="22.35" hidden="false" customHeight="false" outlineLevel="0" collapsed="false">
      <c r="A398" s="11" t="s">
        <v>1463</v>
      </c>
      <c r="B398" s="11" t="s">
        <v>14</v>
      </c>
      <c r="C398" s="11" t="s">
        <v>1042</v>
      </c>
      <c r="D398" s="12" t="s">
        <v>1464</v>
      </c>
      <c r="E398" s="12" t="s">
        <v>1465</v>
      </c>
      <c r="F398" s="12" t="s">
        <v>1464</v>
      </c>
      <c r="G398" s="11" t="s">
        <v>72</v>
      </c>
      <c r="H398" s="11" t="s">
        <v>8</v>
      </c>
      <c r="I398" s="13"/>
      <c r="J398" s="11" t="s">
        <v>49</v>
      </c>
      <c r="K398" s="12" t="s">
        <v>1139</v>
      </c>
      <c r="L398" s="12"/>
      <c r="M398" s="11" t="s">
        <v>50</v>
      </c>
      <c r="N398" s="12" t="s">
        <v>51</v>
      </c>
      <c r="O398" s="11" t="s">
        <v>28</v>
      </c>
      <c r="P398" s="11" t="s">
        <v>52</v>
      </c>
      <c r="Q398" s="12" t="s">
        <v>1286</v>
      </c>
    </row>
    <row r="399" customFormat="false" ht="22.35" hidden="false" customHeight="false" outlineLevel="0" collapsed="false">
      <c r="A399" s="11" t="s">
        <v>1466</v>
      </c>
      <c r="B399" s="11" t="s">
        <v>14</v>
      </c>
      <c r="C399" s="11" t="s">
        <v>1042</v>
      </c>
      <c r="D399" s="12" t="s">
        <v>1467</v>
      </c>
      <c r="E399" s="12" t="s">
        <v>1468</v>
      </c>
      <c r="F399" s="12" t="s">
        <v>1467</v>
      </c>
      <c r="G399" s="11" t="s">
        <v>72</v>
      </c>
      <c r="H399" s="11" t="s">
        <v>8</v>
      </c>
      <c r="I399" s="13"/>
      <c r="J399" s="11" t="s">
        <v>49</v>
      </c>
      <c r="K399" s="12" t="s">
        <v>1139</v>
      </c>
      <c r="L399" s="12"/>
      <c r="M399" s="11" t="s">
        <v>50</v>
      </c>
      <c r="N399" s="12" t="s">
        <v>51</v>
      </c>
      <c r="O399" s="11" t="s">
        <v>28</v>
      </c>
      <c r="P399" s="11" t="s">
        <v>52</v>
      </c>
      <c r="Q399" s="12" t="s">
        <v>1286</v>
      </c>
    </row>
    <row r="400" customFormat="false" ht="22.35" hidden="false" customHeight="false" outlineLevel="0" collapsed="false">
      <c r="A400" s="11" t="s">
        <v>1469</v>
      </c>
      <c r="B400" s="11" t="s">
        <v>14</v>
      </c>
      <c r="C400" s="11" t="s">
        <v>1042</v>
      </c>
      <c r="D400" s="12" t="s">
        <v>1470</v>
      </c>
      <c r="E400" s="12" t="s">
        <v>1471</v>
      </c>
      <c r="F400" s="12" t="s">
        <v>1470</v>
      </c>
      <c r="G400" s="11" t="s">
        <v>72</v>
      </c>
      <c r="H400" s="11" t="s">
        <v>8</v>
      </c>
      <c r="I400" s="13"/>
      <c r="J400" s="11" t="s">
        <v>49</v>
      </c>
      <c r="K400" s="12" t="s">
        <v>1139</v>
      </c>
      <c r="L400" s="12"/>
      <c r="M400" s="11" t="s">
        <v>50</v>
      </c>
      <c r="N400" s="12" t="s">
        <v>51</v>
      </c>
      <c r="O400" s="11" t="s">
        <v>28</v>
      </c>
      <c r="P400" s="11" t="s">
        <v>52</v>
      </c>
      <c r="Q400" s="12" t="s">
        <v>1286</v>
      </c>
    </row>
    <row r="401" customFormat="false" ht="22.35" hidden="false" customHeight="false" outlineLevel="0" collapsed="false">
      <c r="A401" s="11" t="s">
        <v>1472</v>
      </c>
      <c r="B401" s="11" t="s">
        <v>14</v>
      </c>
      <c r="C401" s="11" t="s">
        <v>1042</v>
      </c>
      <c r="D401" s="12" t="s">
        <v>1473</v>
      </c>
      <c r="E401" s="12" t="s">
        <v>1474</v>
      </c>
      <c r="F401" s="12" t="s">
        <v>1473</v>
      </c>
      <c r="G401" s="11" t="s">
        <v>72</v>
      </c>
      <c r="H401" s="11" t="s">
        <v>8</v>
      </c>
      <c r="I401" s="13"/>
      <c r="J401" s="11" t="s">
        <v>49</v>
      </c>
      <c r="K401" s="12" t="s">
        <v>1139</v>
      </c>
      <c r="L401" s="12"/>
      <c r="M401" s="11" t="s">
        <v>50</v>
      </c>
      <c r="N401" s="12" t="s">
        <v>51</v>
      </c>
      <c r="O401" s="11" t="s">
        <v>28</v>
      </c>
      <c r="P401" s="11" t="s">
        <v>52</v>
      </c>
      <c r="Q401" s="12" t="s">
        <v>1286</v>
      </c>
    </row>
    <row r="402" customFormat="false" ht="22.35" hidden="false" customHeight="false" outlineLevel="0" collapsed="false">
      <c r="A402" s="11" t="s">
        <v>1475</v>
      </c>
      <c r="B402" s="11" t="s">
        <v>14</v>
      </c>
      <c r="C402" s="11" t="s">
        <v>1042</v>
      </c>
      <c r="D402" s="12" t="s">
        <v>1476</v>
      </c>
      <c r="E402" s="12" t="s">
        <v>1477</v>
      </c>
      <c r="F402" s="12" t="s">
        <v>1476</v>
      </c>
      <c r="G402" s="11" t="s">
        <v>72</v>
      </c>
      <c r="H402" s="11" t="s">
        <v>8</v>
      </c>
      <c r="I402" s="13"/>
      <c r="J402" s="11" t="s">
        <v>49</v>
      </c>
      <c r="K402" s="12" t="s">
        <v>1139</v>
      </c>
      <c r="L402" s="12"/>
      <c r="M402" s="11" t="s">
        <v>50</v>
      </c>
      <c r="N402" s="12" t="s">
        <v>51</v>
      </c>
      <c r="O402" s="11" t="s">
        <v>28</v>
      </c>
      <c r="P402" s="11" t="s">
        <v>52</v>
      </c>
      <c r="Q402" s="12" t="s">
        <v>1286</v>
      </c>
    </row>
    <row r="403" customFormat="false" ht="22.35" hidden="false" customHeight="false" outlineLevel="0" collapsed="false">
      <c r="A403" s="11" t="s">
        <v>1478</v>
      </c>
      <c r="B403" s="11" t="s">
        <v>14</v>
      </c>
      <c r="C403" s="11" t="s">
        <v>1042</v>
      </c>
      <c r="D403" s="12" t="s">
        <v>1479</v>
      </c>
      <c r="E403" s="12" t="s">
        <v>1480</v>
      </c>
      <c r="F403" s="12" t="s">
        <v>1479</v>
      </c>
      <c r="G403" s="11" t="s">
        <v>72</v>
      </c>
      <c r="H403" s="11" t="s">
        <v>8</v>
      </c>
      <c r="I403" s="13"/>
      <c r="J403" s="11" t="s">
        <v>49</v>
      </c>
      <c r="K403" s="12" t="s">
        <v>1139</v>
      </c>
      <c r="L403" s="12"/>
      <c r="M403" s="11" t="s">
        <v>50</v>
      </c>
      <c r="N403" s="12" t="s">
        <v>51</v>
      </c>
      <c r="O403" s="11" t="s">
        <v>28</v>
      </c>
      <c r="P403" s="11" t="s">
        <v>52</v>
      </c>
      <c r="Q403" s="12" t="s">
        <v>1286</v>
      </c>
    </row>
    <row r="404" customFormat="false" ht="22.35" hidden="false" customHeight="false" outlineLevel="0" collapsed="false">
      <c r="A404" s="11" t="s">
        <v>1481</v>
      </c>
      <c r="B404" s="11" t="s">
        <v>14</v>
      </c>
      <c r="C404" s="11" t="s">
        <v>1042</v>
      </c>
      <c r="D404" s="12" t="s">
        <v>1482</v>
      </c>
      <c r="E404" s="12" t="s">
        <v>1483</v>
      </c>
      <c r="F404" s="12" t="s">
        <v>1482</v>
      </c>
      <c r="G404" s="11" t="s">
        <v>72</v>
      </c>
      <c r="H404" s="11" t="s">
        <v>8</v>
      </c>
      <c r="I404" s="13"/>
      <c r="J404" s="11" t="s">
        <v>49</v>
      </c>
      <c r="K404" s="12" t="s">
        <v>1139</v>
      </c>
      <c r="L404" s="12"/>
      <c r="M404" s="11" t="s">
        <v>50</v>
      </c>
      <c r="N404" s="12" t="s">
        <v>51</v>
      </c>
      <c r="O404" s="11" t="s">
        <v>28</v>
      </c>
      <c r="P404" s="11" t="s">
        <v>52</v>
      </c>
      <c r="Q404" s="12" t="s">
        <v>1286</v>
      </c>
    </row>
    <row r="405" customFormat="false" ht="22.35" hidden="false" customHeight="false" outlineLevel="0" collapsed="false">
      <c r="A405" s="11" t="s">
        <v>1484</v>
      </c>
      <c r="B405" s="11" t="s">
        <v>14</v>
      </c>
      <c r="C405" s="11" t="s">
        <v>1042</v>
      </c>
      <c r="D405" s="12" t="s">
        <v>1485</v>
      </c>
      <c r="E405" s="12" t="s">
        <v>1486</v>
      </c>
      <c r="F405" s="12" t="s">
        <v>1485</v>
      </c>
      <c r="G405" s="11" t="s">
        <v>48</v>
      </c>
      <c r="H405" s="11" t="s">
        <v>9</v>
      </c>
      <c r="I405" s="13"/>
      <c r="J405" s="11" t="s">
        <v>49</v>
      </c>
      <c r="K405" s="12" t="s">
        <v>1139</v>
      </c>
      <c r="L405" s="12"/>
      <c r="M405" s="11" t="s">
        <v>50</v>
      </c>
      <c r="N405" s="12" t="s">
        <v>51</v>
      </c>
      <c r="O405" s="11" t="s">
        <v>28</v>
      </c>
      <c r="P405" s="11" t="s">
        <v>52</v>
      </c>
      <c r="Q405" s="12" t="s">
        <v>53</v>
      </c>
    </row>
    <row r="406" customFormat="false" ht="22.35" hidden="false" customHeight="false" outlineLevel="0" collapsed="false">
      <c r="A406" s="11" t="s">
        <v>1487</v>
      </c>
      <c r="B406" s="11" t="s">
        <v>14</v>
      </c>
      <c r="C406" s="11" t="s">
        <v>1042</v>
      </c>
      <c r="D406" s="12" t="s">
        <v>1488</v>
      </c>
      <c r="E406" s="12" t="s">
        <v>1489</v>
      </c>
      <c r="F406" s="12" t="s">
        <v>1488</v>
      </c>
      <c r="G406" s="11" t="s">
        <v>48</v>
      </c>
      <c r="H406" s="11" t="s">
        <v>9</v>
      </c>
      <c r="I406" s="13"/>
      <c r="J406" s="11" t="s">
        <v>49</v>
      </c>
      <c r="K406" s="12" t="s">
        <v>1139</v>
      </c>
      <c r="L406" s="12"/>
      <c r="M406" s="11" t="s">
        <v>50</v>
      </c>
      <c r="N406" s="12" t="s">
        <v>51</v>
      </c>
      <c r="O406" s="11" t="s">
        <v>28</v>
      </c>
      <c r="P406" s="11" t="s">
        <v>52</v>
      </c>
      <c r="Q406" s="12" t="s">
        <v>53</v>
      </c>
    </row>
    <row r="407" customFormat="false" ht="22.35" hidden="false" customHeight="false" outlineLevel="0" collapsed="false">
      <c r="A407" s="11" t="s">
        <v>1490</v>
      </c>
      <c r="B407" s="11" t="s">
        <v>14</v>
      </c>
      <c r="C407" s="11" t="s">
        <v>1042</v>
      </c>
      <c r="D407" s="12" t="s">
        <v>1491</v>
      </c>
      <c r="E407" s="12" t="s">
        <v>1492</v>
      </c>
      <c r="F407" s="12" t="s">
        <v>1491</v>
      </c>
      <c r="G407" s="11" t="s">
        <v>48</v>
      </c>
      <c r="H407" s="11" t="s">
        <v>9</v>
      </c>
      <c r="I407" s="13"/>
      <c r="J407" s="11" t="s">
        <v>49</v>
      </c>
      <c r="K407" s="12" t="s">
        <v>1139</v>
      </c>
      <c r="L407" s="12"/>
      <c r="M407" s="11" t="s">
        <v>50</v>
      </c>
      <c r="N407" s="12" t="s">
        <v>51</v>
      </c>
      <c r="O407" s="11" t="s">
        <v>28</v>
      </c>
      <c r="P407" s="11" t="s">
        <v>52</v>
      </c>
      <c r="Q407" s="12" t="s">
        <v>53</v>
      </c>
    </row>
    <row r="408" customFormat="false" ht="22.35" hidden="false" customHeight="false" outlineLevel="0" collapsed="false">
      <c r="A408" s="11" t="s">
        <v>1493</v>
      </c>
      <c r="B408" s="11" t="s">
        <v>14</v>
      </c>
      <c r="C408" s="11" t="s">
        <v>1042</v>
      </c>
      <c r="D408" s="12" t="s">
        <v>1494</v>
      </c>
      <c r="E408" s="12" t="s">
        <v>1495</v>
      </c>
      <c r="F408" s="12" t="s">
        <v>1494</v>
      </c>
      <c r="G408" s="11" t="s">
        <v>48</v>
      </c>
      <c r="H408" s="11" t="s">
        <v>9</v>
      </c>
      <c r="I408" s="13"/>
      <c r="J408" s="11" t="s">
        <v>49</v>
      </c>
      <c r="K408" s="12" t="s">
        <v>1139</v>
      </c>
      <c r="L408" s="12"/>
      <c r="M408" s="11" t="s">
        <v>50</v>
      </c>
      <c r="N408" s="12" t="s">
        <v>51</v>
      </c>
      <c r="O408" s="11" t="s">
        <v>28</v>
      </c>
      <c r="P408" s="11" t="s">
        <v>52</v>
      </c>
      <c r="Q408" s="12" t="s">
        <v>53</v>
      </c>
    </row>
    <row r="409" customFormat="false" ht="22.35" hidden="false" customHeight="false" outlineLevel="0" collapsed="false">
      <c r="A409" s="11" t="s">
        <v>1496</v>
      </c>
      <c r="B409" s="11" t="s">
        <v>14</v>
      </c>
      <c r="C409" s="11" t="s">
        <v>1042</v>
      </c>
      <c r="D409" s="12" t="s">
        <v>1497</v>
      </c>
      <c r="E409" s="12" t="s">
        <v>1498</v>
      </c>
      <c r="F409" s="12" t="s">
        <v>1497</v>
      </c>
      <c r="G409" s="11" t="s">
        <v>48</v>
      </c>
      <c r="H409" s="11" t="s">
        <v>9</v>
      </c>
      <c r="I409" s="13"/>
      <c r="J409" s="11" t="s">
        <v>49</v>
      </c>
      <c r="K409" s="12" t="s">
        <v>1139</v>
      </c>
      <c r="L409" s="12"/>
      <c r="M409" s="11" t="s">
        <v>50</v>
      </c>
      <c r="N409" s="12" t="s">
        <v>51</v>
      </c>
      <c r="O409" s="11" t="s">
        <v>28</v>
      </c>
      <c r="P409" s="11" t="s">
        <v>52</v>
      </c>
      <c r="Q409" s="12" t="s">
        <v>53</v>
      </c>
    </row>
    <row r="410" customFormat="false" ht="22.35" hidden="false" customHeight="false" outlineLevel="0" collapsed="false">
      <c r="A410" s="11" t="s">
        <v>1499</v>
      </c>
      <c r="B410" s="11" t="s">
        <v>14</v>
      </c>
      <c r="C410" s="11" t="s">
        <v>1042</v>
      </c>
      <c r="D410" s="12" t="s">
        <v>1500</v>
      </c>
      <c r="E410" s="12" t="s">
        <v>1501</v>
      </c>
      <c r="F410" s="12" t="s">
        <v>1500</v>
      </c>
      <c r="G410" s="11" t="s">
        <v>48</v>
      </c>
      <c r="H410" s="11" t="s">
        <v>9</v>
      </c>
      <c r="I410" s="13"/>
      <c r="J410" s="11" t="s">
        <v>49</v>
      </c>
      <c r="K410" s="12" t="s">
        <v>1139</v>
      </c>
      <c r="L410" s="12"/>
      <c r="M410" s="11" t="s">
        <v>50</v>
      </c>
      <c r="N410" s="12" t="s">
        <v>51</v>
      </c>
      <c r="O410" s="11" t="s">
        <v>28</v>
      </c>
      <c r="P410" s="11" t="s">
        <v>52</v>
      </c>
      <c r="Q410" s="12" t="s">
        <v>53</v>
      </c>
    </row>
    <row r="411" customFormat="false" ht="22.35" hidden="false" customHeight="false" outlineLevel="0" collapsed="false">
      <c r="A411" s="11" t="s">
        <v>1502</v>
      </c>
      <c r="B411" s="11" t="s">
        <v>14</v>
      </c>
      <c r="C411" s="11" t="s">
        <v>1042</v>
      </c>
      <c r="D411" s="12" t="s">
        <v>1503</v>
      </c>
      <c r="E411" s="12" t="s">
        <v>1504</v>
      </c>
      <c r="F411" s="12" t="s">
        <v>1503</v>
      </c>
      <c r="G411" s="11" t="s">
        <v>72</v>
      </c>
      <c r="H411" s="11" t="s">
        <v>4</v>
      </c>
      <c r="I411" s="13"/>
      <c r="J411" s="11" t="s">
        <v>49</v>
      </c>
      <c r="K411" s="12" t="s">
        <v>1139</v>
      </c>
      <c r="L411" s="12" t="s">
        <v>1505</v>
      </c>
      <c r="M411" s="11" t="s">
        <v>50</v>
      </c>
      <c r="N411" s="12" t="s">
        <v>51</v>
      </c>
      <c r="O411" s="11" t="s">
        <v>27</v>
      </c>
      <c r="P411" s="11" t="s">
        <v>52</v>
      </c>
      <c r="Q411" s="12" t="s">
        <v>210</v>
      </c>
    </row>
    <row r="412" customFormat="false" ht="22.35" hidden="false" customHeight="false" outlineLevel="0" collapsed="false">
      <c r="A412" s="11" t="s">
        <v>1506</v>
      </c>
      <c r="B412" s="11" t="s">
        <v>14</v>
      </c>
      <c r="C412" s="11" t="s">
        <v>1042</v>
      </c>
      <c r="D412" s="12" t="s">
        <v>1507</v>
      </c>
      <c r="E412" s="12" t="s">
        <v>1508</v>
      </c>
      <c r="F412" s="12" t="s">
        <v>1507</v>
      </c>
      <c r="G412" s="11" t="s">
        <v>72</v>
      </c>
      <c r="H412" s="11" t="s">
        <v>4</v>
      </c>
      <c r="I412" s="13"/>
      <c r="J412" s="11" t="s">
        <v>49</v>
      </c>
      <c r="K412" s="12" t="s">
        <v>1139</v>
      </c>
      <c r="L412" s="12"/>
      <c r="M412" s="11" t="s">
        <v>50</v>
      </c>
      <c r="N412" s="12" t="s">
        <v>51</v>
      </c>
      <c r="O412" s="11" t="s">
        <v>27</v>
      </c>
      <c r="P412" s="11" t="s">
        <v>52</v>
      </c>
      <c r="Q412" s="12" t="s">
        <v>210</v>
      </c>
    </row>
    <row r="413" customFormat="false" ht="22.35" hidden="false" customHeight="false" outlineLevel="0" collapsed="false">
      <c r="A413" s="11" t="s">
        <v>1509</v>
      </c>
      <c r="B413" s="11" t="s">
        <v>14</v>
      </c>
      <c r="C413" s="11" t="s">
        <v>1042</v>
      </c>
      <c r="D413" s="12" t="s">
        <v>432</v>
      </c>
      <c r="E413" s="12" t="s">
        <v>1510</v>
      </c>
      <c r="F413" s="12" t="s">
        <v>1511</v>
      </c>
      <c r="G413" s="11" t="s">
        <v>72</v>
      </c>
      <c r="H413" s="11" t="s">
        <v>4</v>
      </c>
      <c r="I413" s="13"/>
      <c r="J413" s="11" t="s">
        <v>49</v>
      </c>
      <c r="K413" s="12" t="s">
        <v>1139</v>
      </c>
      <c r="L413" s="12"/>
      <c r="M413" s="11" t="s">
        <v>50</v>
      </c>
      <c r="N413" s="12" t="s">
        <v>51</v>
      </c>
      <c r="O413" s="11" t="s">
        <v>27</v>
      </c>
      <c r="P413" s="11" t="s">
        <v>52</v>
      </c>
      <c r="Q413" s="12" t="s">
        <v>210</v>
      </c>
    </row>
    <row r="414" customFormat="false" ht="32.8" hidden="false" customHeight="false" outlineLevel="0" collapsed="false">
      <c r="A414" s="11" t="s">
        <v>1512</v>
      </c>
      <c r="B414" s="11" t="s">
        <v>14</v>
      </c>
      <c r="C414" s="11" t="s">
        <v>1042</v>
      </c>
      <c r="D414" s="12" t="s">
        <v>1513</v>
      </c>
      <c r="E414" s="12" t="s">
        <v>1514</v>
      </c>
      <c r="F414" s="12" t="s">
        <v>1513</v>
      </c>
      <c r="G414" s="11" t="s">
        <v>72</v>
      </c>
      <c r="H414" s="11" t="s">
        <v>4</v>
      </c>
      <c r="I414" s="13"/>
      <c r="J414" s="11" t="s">
        <v>49</v>
      </c>
      <c r="K414" s="12" t="s">
        <v>1139</v>
      </c>
      <c r="L414" s="12"/>
      <c r="M414" s="11" t="s">
        <v>50</v>
      </c>
      <c r="N414" s="12" t="s">
        <v>51</v>
      </c>
      <c r="O414" s="11" t="s">
        <v>27</v>
      </c>
      <c r="P414" s="11" t="s">
        <v>52</v>
      </c>
      <c r="Q414" s="12" t="s">
        <v>210</v>
      </c>
    </row>
    <row r="415" customFormat="false" ht="32.8" hidden="false" customHeight="false" outlineLevel="0" collapsed="false">
      <c r="A415" s="11" t="s">
        <v>1515</v>
      </c>
      <c r="B415" s="11" t="s">
        <v>14</v>
      </c>
      <c r="C415" s="11" t="s">
        <v>1042</v>
      </c>
      <c r="D415" s="12" t="s">
        <v>1516</v>
      </c>
      <c r="E415" s="12" t="s">
        <v>1517</v>
      </c>
      <c r="F415" s="12" t="s">
        <v>1516</v>
      </c>
      <c r="G415" s="11" t="s">
        <v>72</v>
      </c>
      <c r="H415" s="11" t="s">
        <v>4</v>
      </c>
      <c r="I415" s="13"/>
      <c r="J415" s="11" t="s">
        <v>49</v>
      </c>
      <c r="K415" s="12" t="s">
        <v>1139</v>
      </c>
      <c r="L415" s="12"/>
      <c r="M415" s="11" t="s">
        <v>50</v>
      </c>
      <c r="N415" s="12" t="s">
        <v>51</v>
      </c>
      <c r="O415" s="11" t="s">
        <v>27</v>
      </c>
      <c r="P415" s="11" t="s">
        <v>52</v>
      </c>
      <c r="Q415" s="12" t="s">
        <v>210</v>
      </c>
    </row>
    <row r="416" customFormat="false" ht="32.8" hidden="false" customHeight="false" outlineLevel="0" collapsed="false">
      <c r="A416" s="11" t="s">
        <v>1518</v>
      </c>
      <c r="B416" s="11" t="s">
        <v>14</v>
      </c>
      <c r="C416" s="11" t="s">
        <v>1042</v>
      </c>
      <c r="D416" s="12" t="s">
        <v>1519</v>
      </c>
      <c r="E416" s="12" t="s">
        <v>1520</v>
      </c>
      <c r="F416" s="12" t="s">
        <v>1519</v>
      </c>
      <c r="G416" s="11" t="s">
        <v>72</v>
      </c>
      <c r="H416" s="11" t="s">
        <v>4</v>
      </c>
      <c r="I416" s="13"/>
      <c r="J416" s="11" t="s">
        <v>49</v>
      </c>
      <c r="K416" s="12" t="s">
        <v>1139</v>
      </c>
      <c r="L416" s="12"/>
      <c r="M416" s="11" t="s">
        <v>50</v>
      </c>
      <c r="N416" s="12" t="s">
        <v>51</v>
      </c>
      <c r="O416" s="11" t="s">
        <v>27</v>
      </c>
      <c r="P416" s="11" t="s">
        <v>52</v>
      </c>
      <c r="Q416" s="12" t="s">
        <v>210</v>
      </c>
    </row>
    <row r="417" customFormat="false" ht="32.8" hidden="false" customHeight="false" outlineLevel="0" collapsed="false">
      <c r="A417" s="11" t="s">
        <v>1521</v>
      </c>
      <c r="B417" s="11" t="s">
        <v>14</v>
      </c>
      <c r="C417" s="11" t="s">
        <v>1042</v>
      </c>
      <c r="D417" s="12" t="s">
        <v>1522</v>
      </c>
      <c r="E417" s="12" t="s">
        <v>1523</v>
      </c>
      <c r="F417" s="12" t="s">
        <v>1522</v>
      </c>
      <c r="G417" s="11" t="s">
        <v>72</v>
      </c>
      <c r="H417" s="11" t="s">
        <v>4</v>
      </c>
      <c r="I417" s="13"/>
      <c r="J417" s="11" t="s">
        <v>49</v>
      </c>
      <c r="K417" s="12" t="s">
        <v>1139</v>
      </c>
      <c r="L417" s="12"/>
      <c r="M417" s="11" t="s">
        <v>50</v>
      </c>
      <c r="N417" s="12" t="s">
        <v>51</v>
      </c>
      <c r="O417" s="11" t="s">
        <v>27</v>
      </c>
      <c r="P417" s="11" t="s">
        <v>52</v>
      </c>
      <c r="Q417" s="12" t="s">
        <v>210</v>
      </c>
    </row>
    <row r="418" customFormat="false" ht="15" hidden="false" customHeight="false" outlineLevel="0" collapsed="false">
      <c r="A418" s="11" t="s">
        <v>1524</v>
      </c>
      <c r="B418" s="11" t="s">
        <v>14</v>
      </c>
      <c r="C418" s="11" t="s">
        <v>46</v>
      </c>
      <c r="D418" s="12" t="s">
        <v>1525</v>
      </c>
      <c r="E418" s="12" t="s">
        <v>1525</v>
      </c>
      <c r="F418" s="12" t="s">
        <v>1525</v>
      </c>
      <c r="G418" s="11" t="s">
        <v>59</v>
      </c>
      <c r="H418" s="11" t="s">
        <v>4</v>
      </c>
      <c r="I418" s="13"/>
      <c r="J418" s="11" t="s">
        <v>49</v>
      </c>
      <c r="K418" s="12" t="s">
        <v>1139</v>
      </c>
      <c r="L418" s="12"/>
      <c r="M418" s="11" t="s">
        <v>50</v>
      </c>
      <c r="N418" s="12" t="s">
        <v>51</v>
      </c>
      <c r="O418" s="11" t="s">
        <v>27</v>
      </c>
      <c r="P418" s="11" t="s">
        <v>52</v>
      </c>
      <c r="Q418" s="12" t="s">
        <v>210</v>
      </c>
    </row>
    <row r="419" customFormat="false" ht="22.35" hidden="false" customHeight="false" outlineLevel="0" collapsed="false">
      <c r="A419" s="11" t="s">
        <v>1526</v>
      </c>
      <c r="B419" s="11" t="s">
        <v>14</v>
      </c>
      <c r="C419" s="11" t="s">
        <v>1527</v>
      </c>
      <c r="D419" s="12" t="s">
        <v>1528</v>
      </c>
      <c r="E419" s="12" t="s">
        <v>1529</v>
      </c>
      <c r="F419" s="12" t="s">
        <v>1530</v>
      </c>
      <c r="G419" s="11" t="s">
        <v>72</v>
      </c>
      <c r="H419" s="11" t="s">
        <v>4</v>
      </c>
      <c r="I419" s="13" t="n">
        <v>0.666666666666667</v>
      </c>
      <c r="J419" s="11" t="s">
        <v>49</v>
      </c>
      <c r="K419" s="12" t="s">
        <v>1531</v>
      </c>
      <c r="L419" s="12" t="s">
        <v>1532</v>
      </c>
      <c r="M419" s="11" t="s">
        <v>50</v>
      </c>
      <c r="N419" s="12" t="s">
        <v>51</v>
      </c>
      <c r="O419" s="11" t="s">
        <v>27</v>
      </c>
      <c r="P419" s="11" t="s">
        <v>52</v>
      </c>
      <c r="Q419" s="12"/>
    </row>
    <row r="420" customFormat="false" ht="53.7" hidden="false" customHeight="false" outlineLevel="0" collapsed="false">
      <c r="A420" s="11" t="s">
        <v>1533</v>
      </c>
      <c r="B420" s="11" t="s">
        <v>14</v>
      </c>
      <c r="C420" s="11" t="s">
        <v>1527</v>
      </c>
      <c r="D420" s="12" t="s">
        <v>1534</v>
      </c>
      <c r="E420" s="12" t="s">
        <v>1535</v>
      </c>
      <c r="F420" s="12" t="s">
        <v>409</v>
      </c>
      <c r="G420" s="11" t="s">
        <v>72</v>
      </c>
      <c r="H420" s="11" t="s">
        <v>5</v>
      </c>
      <c r="I420" s="13" t="n">
        <v>0.52</v>
      </c>
      <c r="J420" s="11" t="s">
        <v>49</v>
      </c>
      <c r="K420" s="12" t="s">
        <v>1536</v>
      </c>
      <c r="L420" s="12" t="s">
        <v>1537</v>
      </c>
      <c r="M420" s="11" t="s">
        <v>50</v>
      </c>
      <c r="N420" s="12" t="s">
        <v>1538</v>
      </c>
      <c r="O420" s="11" t="s">
        <v>25</v>
      </c>
      <c r="P420" s="11" t="s">
        <v>52</v>
      </c>
      <c r="Q420" s="12"/>
    </row>
    <row r="421" customFormat="false" ht="53.7" hidden="false" customHeight="false" outlineLevel="0" collapsed="false">
      <c r="A421" s="11" t="s">
        <v>1539</v>
      </c>
      <c r="B421" s="11" t="s">
        <v>14</v>
      </c>
      <c r="C421" s="11" t="s">
        <v>1527</v>
      </c>
      <c r="D421" s="12" t="s">
        <v>1540</v>
      </c>
      <c r="E421" s="12" t="s">
        <v>1541</v>
      </c>
      <c r="F421" s="12" t="s">
        <v>1542</v>
      </c>
      <c r="G421" s="11" t="s">
        <v>72</v>
      </c>
      <c r="H421" s="11" t="s">
        <v>5</v>
      </c>
      <c r="I421" s="13" t="n">
        <v>0.318181818181818</v>
      </c>
      <c r="J421" s="11" t="s">
        <v>49</v>
      </c>
      <c r="K421" s="12" t="s">
        <v>1543</v>
      </c>
      <c r="L421" s="12" t="s">
        <v>1544</v>
      </c>
      <c r="M421" s="11" t="s">
        <v>50</v>
      </c>
      <c r="N421" s="12" t="s">
        <v>1538</v>
      </c>
      <c r="O421" s="11" t="s">
        <v>25</v>
      </c>
      <c r="P421" s="11" t="s">
        <v>52</v>
      </c>
      <c r="Q421" s="12"/>
    </row>
    <row r="422" customFormat="false" ht="64.15" hidden="false" customHeight="false" outlineLevel="0" collapsed="false">
      <c r="A422" s="11" t="s">
        <v>1545</v>
      </c>
      <c r="B422" s="11" t="s">
        <v>14</v>
      </c>
      <c r="C422" s="11" t="s">
        <v>1527</v>
      </c>
      <c r="D422" s="12" t="s">
        <v>1546</v>
      </c>
      <c r="E422" s="12" t="s">
        <v>1547</v>
      </c>
      <c r="F422" s="12" t="s">
        <v>1548</v>
      </c>
      <c r="G422" s="11" t="s">
        <v>72</v>
      </c>
      <c r="H422" s="11" t="s">
        <v>5</v>
      </c>
      <c r="I422" s="13" t="n">
        <v>0.4</v>
      </c>
      <c r="J422" s="11" t="s">
        <v>49</v>
      </c>
      <c r="K422" s="12" t="s">
        <v>1549</v>
      </c>
      <c r="L422" s="12" t="s">
        <v>1550</v>
      </c>
      <c r="M422" s="11" t="s">
        <v>50</v>
      </c>
      <c r="N422" s="12" t="s">
        <v>489</v>
      </c>
      <c r="O422" s="11" t="s">
        <v>25</v>
      </c>
      <c r="P422" s="11" t="s">
        <v>52</v>
      </c>
      <c r="Q422" s="12"/>
    </row>
    <row r="423" customFormat="false" ht="53.7" hidden="false" customHeight="false" outlineLevel="0" collapsed="false">
      <c r="A423" s="11" t="s">
        <v>1551</v>
      </c>
      <c r="B423" s="11" t="s">
        <v>14</v>
      </c>
      <c r="C423" s="11" t="s">
        <v>1527</v>
      </c>
      <c r="D423" s="12" t="s">
        <v>1552</v>
      </c>
      <c r="E423" s="12" t="s">
        <v>1553</v>
      </c>
      <c r="F423" s="12" t="s">
        <v>1554</v>
      </c>
      <c r="G423" s="11" t="s">
        <v>59</v>
      </c>
      <c r="H423" s="11" t="s">
        <v>4</v>
      </c>
      <c r="I423" s="13" t="n">
        <v>0.628571428571429</v>
      </c>
      <c r="J423" s="11" t="s">
        <v>49</v>
      </c>
      <c r="K423" s="12" t="s">
        <v>1555</v>
      </c>
      <c r="L423" s="12" t="s">
        <v>1556</v>
      </c>
      <c r="M423" s="11" t="s">
        <v>50</v>
      </c>
      <c r="N423" s="12" t="s">
        <v>51</v>
      </c>
      <c r="O423" s="11" t="s">
        <v>27</v>
      </c>
      <c r="P423" s="11" t="s">
        <v>52</v>
      </c>
      <c r="Q423" s="12"/>
    </row>
    <row r="424" customFormat="false" ht="53.7" hidden="false" customHeight="false" outlineLevel="0" collapsed="false">
      <c r="A424" s="11" t="s">
        <v>1557</v>
      </c>
      <c r="B424" s="11" t="s">
        <v>14</v>
      </c>
      <c r="C424" s="11" t="s">
        <v>1527</v>
      </c>
      <c r="D424" s="12" t="s">
        <v>1558</v>
      </c>
      <c r="E424" s="12" t="s">
        <v>1559</v>
      </c>
      <c r="F424" s="12" t="s">
        <v>1560</v>
      </c>
      <c r="G424" s="11" t="s">
        <v>59</v>
      </c>
      <c r="H424" s="11" t="s">
        <v>4</v>
      </c>
      <c r="I424" s="13" t="n">
        <v>0.575757575757576</v>
      </c>
      <c r="J424" s="11" t="s">
        <v>49</v>
      </c>
      <c r="K424" s="12" t="s">
        <v>1561</v>
      </c>
      <c r="L424" s="12" t="s">
        <v>1562</v>
      </c>
      <c r="M424" s="11" t="s">
        <v>50</v>
      </c>
      <c r="N424" s="12" t="s">
        <v>51</v>
      </c>
      <c r="O424" s="11" t="s">
        <v>27</v>
      </c>
      <c r="P424" s="11" t="s">
        <v>52</v>
      </c>
      <c r="Q424" s="12"/>
    </row>
    <row r="425" customFormat="false" ht="22.35" hidden="false" customHeight="false" outlineLevel="0" collapsed="false">
      <c r="A425" s="11" t="s">
        <v>1563</v>
      </c>
      <c r="B425" s="11" t="s">
        <v>14</v>
      </c>
      <c r="C425" s="11" t="s">
        <v>1527</v>
      </c>
      <c r="D425" s="12" t="s">
        <v>1564</v>
      </c>
      <c r="E425" s="12" t="s">
        <v>1565</v>
      </c>
      <c r="F425" s="12" t="s">
        <v>647</v>
      </c>
      <c r="G425" s="11" t="s">
        <v>59</v>
      </c>
      <c r="H425" s="11" t="s">
        <v>4</v>
      </c>
      <c r="I425" s="13" t="n">
        <v>0.9</v>
      </c>
      <c r="J425" s="11" t="s">
        <v>49</v>
      </c>
      <c r="K425" s="12" t="s">
        <v>1566</v>
      </c>
      <c r="L425" s="12" t="s">
        <v>1567</v>
      </c>
      <c r="M425" s="11" t="s">
        <v>50</v>
      </c>
      <c r="N425" s="12" t="s">
        <v>51</v>
      </c>
      <c r="O425" s="11" t="s">
        <v>27</v>
      </c>
      <c r="P425" s="11" t="s">
        <v>52</v>
      </c>
      <c r="Q425" s="12"/>
    </row>
    <row r="426" customFormat="false" ht="22.35" hidden="false" customHeight="false" outlineLevel="0" collapsed="false">
      <c r="A426" s="11" t="s">
        <v>1568</v>
      </c>
      <c r="B426" s="11" t="s">
        <v>14</v>
      </c>
      <c r="C426" s="11" t="s">
        <v>1527</v>
      </c>
      <c r="D426" s="12" t="s">
        <v>1569</v>
      </c>
      <c r="E426" s="12" t="s">
        <v>1570</v>
      </c>
      <c r="F426" s="12" t="s">
        <v>1571</v>
      </c>
      <c r="G426" s="11" t="s">
        <v>72</v>
      </c>
      <c r="H426" s="11" t="s">
        <v>4</v>
      </c>
      <c r="I426" s="13" t="n">
        <v>0.928571428571429</v>
      </c>
      <c r="J426" s="11" t="s">
        <v>49</v>
      </c>
      <c r="K426" s="12" t="s">
        <v>1572</v>
      </c>
      <c r="L426" s="12" t="s">
        <v>1573</v>
      </c>
      <c r="M426" s="11" t="s">
        <v>50</v>
      </c>
      <c r="N426" s="12" t="s">
        <v>51</v>
      </c>
      <c r="O426" s="11" t="s">
        <v>27</v>
      </c>
      <c r="P426" s="11" t="s">
        <v>52</v>
      </c>
      <c r="Q426" s="12"/>
    </row>
    <row r="427" customFormat="false" ht="53.7" hidden="false" customHeight="false" outlineLevel="0" collapsed="false">
      <c r="A427" s="11" t="s">
        <v>1574</v>
      </c>
      <c r="B427" s="11" t="s">
        <v>14</v>
      </c>
      <c r="C427" s="11" t="s">
        <v>1527</v>
      </c>
      <c r="D427" s="12" t="s">
        <v>1575</v>
      </c>
      <c r="E427" s="12" t="s">
        <v>1576</v>
      </c>
      <c r="F427" s="12" t="s">
        <v>1577</v>
      </c>
      <c r="G427" s="11" t="s">
        <v>72</v>
      </c>
      <c r="H427" s="11" t="s">
        <v>4</v>
      </c>
      <c r="I427" s="13" t="n">
        <v>0.725</v>
      </c>
      <c r="J427" s="11" t="s">
        <v>49</v>
      </c>
      <c r="K427" s="12" t="s">
        <v>1578</v>
      </c>
      <c r="L427" s="12" t="s">
        <v>1579</v>
      </c>
      <c r="M427" s="11" t="s">
        <v>50</v>
      </c>
      <c r="N427" s="12" t="s">
        <v>51</v>
      </c>
      <c r="O427" s="11" t="s">
        <v>27</v>
      </c>
      <c r="P427" s="11" t="s">
        <v>52</v>
      </c>
      <c r="Q427" s="12"/>
    </row>
    <row r="428" customFormat="false" ht="43.25" hidden="false" customHeight="false" outlineLevel="0" collapsed="false">
      <c r="A428" s="11" t="s">
        <v>1580</v>
      </c>
      <c r="B428" s="11" t="s">
        <v>14</v>
      </c>
      <c r="C428" s="11" t="s">
        <v>1527</v>
      </c>
      <c r="D428" s="12" t="s">
        <v>1581</v>
      </c>
      <c r="E428" s="12" t="s">
        <v>1582</v>
      </c>
      <c r="F428" s="12" t="s">
        <v>1583</v>
      </c>
      <c r="G428" s="11" t="s">
        <v>72</v>
      </c>
      <c r="H428" s="11" t="s">
        <v>4</v>
      </c>
      <c r="I428" s="13" t="n">
        <v>0.7</v>
      </c>
      <c r="J428" s="11" t="s">
        <v>49</v>
      </c>
      <c r="K428" s="12" t="s">
        <v>1584</v>
      </c>
      <c r="L428" s="12" t="s">
        <v>1585</v>
      </c>
      <c r="M428" s="11" t="s">
        <v>50</v>
      </c>
      <c r="N428" s="12" t="s">
        <v>51</v>
      </c>
      <c r="O428" s="11" t="s">
        <v>27</v>
      </c>
      <c r="P428" s="11" t="s">
        <v>52</v>
      </c>
      <c r="Q428" s="12"/>
    </row>
    <row r="429" customFormat="false" ht="53.7" hidden="false" customHeight="false" outlineLevel="0" collapsed="false">
      <c r="A429" s="11" t="s">
        <v>1586</v>
      </c>
      <c r="B429" s="11" t="s">
        <v>14</v>
      </c>
      <c r="C429" s="11" t="s">
        <v>1527</v>
      </c>
      <c r="D429" s="12" t="s">
        <v>1587</v>
      </c>
      <c r="E429" s="12" t="s">
        <v>1588</v>
      </c>
      <c r="F429" s="12" t="s">
        <v>1589</v>
      </c>
      <c r="G429" s="11" t="s">
        <v>72</v>
      </c>
      <c r="H429" s="11" t="s">
        <v>4</v>
      </c>
      <c r="I429" s="13" t="n">
        <v>0.725</v>
      </c>
      <c r="J429" s="11" t="s">
        <v>49</v>
      </c>
      <c r="K429" s="12" t="s">
        <v>1590</v>
      </c>
      <c r="L429" s="12" t="s">
        <v>1591</v>
      </c>
      <c r="M429" s="11" t="s">
        <v>50</v>
      </c>
      <c r="N429" s="12" t="s">
        <v>51</v>
      </c>
      <c r="O429" s="11" t="s">
        <v>27</v>
      </c>
      <c r="P429" s="11" t="s">
        <v>52</v>
      </c>
      <c r="Q429" s="12"/>
    </row>
    <row r="430" customFormat="false" ht="53.7" hidden="false" customHeight="false" outlineLevel="0" collapsed="false">
      <c r="A430" s="11" t="s">
        <v>1592</v>
      </c>
      <c r="B430" s="11" t="s">
        <v>14</v>
      </c>
      <c r="C430" s="11" t="s">
        <v>1527</v>
      </c>
      <c r="D430" s="12" t="s">
        <v>1593</v>
      </c>
      <c r="E430" s="12" t="s">
        <v>1594</v>
      </c>
      <c r="F430" s="12" t="s">
        <v>1595</v>
      </c>
      <c r="G430" s="11" t="s">
        <v>72</v>
      </c>
      <c r="H430" s="11" t="s">
        <v>4</v>
      </c>
      <c r="I430" s="13" t="n">
        <v>0.763157894736842</v>
      </c>
      <c r="J430" s="11" t="s">
        <v>49</v>
      </c>
      <c r="K430" s="12" t="s">
        <v>1596</v>
      </c>
      <c r="L430" s="12" t="s">
        <v>1597</v>
      </c>
      <c r="M430" s="11" t="s">
        <v>50</v>
      </c>
      <c r="N430" s="12" t="s">
        <v>51</v>
      </c>
      <c r="O430" s="11" t="s">
        <v>27</v>
      </c>
      <c r="P430" s="11" t="s">
        <v>52</v>
      </c>
      <c r="Q430" s="12"/>
    </row>
    <row r="431" customFormat="false" ht="22.35" hidden="false" customHeight="false" outlineLevel="0" collapsed="false">
      <c r="A431" s="11" t="s">
        <v>1598</v>
      </c>
      <c r="B431" s="11" t="s">
        <v>14</v>
      </c>
      <c r="C431" s="11" t="s">
        <v>1527</v>
      </c>
      <c r="D431" s="12" t="s">
        <v>1599</v>
      </c>
      <c r="E431" s="12" t="s">
        <v>1600</v>
      </c>
      <c r="F431" s="12" t="s">
        <v>1601</v>
      </c>
      <c r="G431" s="11" t="s">
        <v>72</v>
      </c>
      <c r="H431" s="11" t="s">
        <v>4</v>
      </c>
      <c r="I431" s="13" t="n">
        <v>0.825</v>
      </c>
      <c r="J431" s="11" t="s">
        <v>49</v>
      </c>
      <c r="K431" s="12" t="s">
        <v>1602</v>
      </c>
      <c r="L431" s="12" t="s">
        <v>1603</v>
      </c>
      <c r="M431" s="11" t="s">
        <v>50</v>
      </c>
      <c r="N431" s="12" t="s">
        <v>51</v>
      </c>
      <c r="O431" s="11" t="s">
        <v>27</v>
      </c>
      <c r="P431" s="11" t="s">
        <v>52</v>
      </c>
      <c r="Q431" s="12"/>
    </row>
    <row r="432" customFormat="false" ht="22.35" hidden="false" customHeight="false" outlineLevel="0" collapsed="false">
      <c r="A432" s="11" t="s">
        <v>1604</v>
      </c>
      <c r="B432" s="11" t="s">
        <v>14</v>
      </c>
      <c r="C432" s="11" t="s">
        <v>1527</v>
      </c>
      <c r="D432" s="12" t="s">
        <v>1605</v>
      </c>
      <c r="E432" s="12" t="s">
        <v>1606</v>
      </c>
      <c r="F432" s="12" t="s">
        <v>1607</v>
      </c>
      <c r="G432" s="11" t="s">
        <v>72</v>
      </c>
      <c r="H432" s="11" t="s">
        <v>4</v>
      </c>
      <c r="I432" s="13" t="n">
        <v>0.95</v>
      </c>
      <c r="J432" s="11" t="s">
        <v>49</v>
      </c>
      <c r="K432" s="12" t="s">
        <v>1608</v>
      </c>
      <c r="L432" s="12" t="s">
        <v>1609</v>
      </c>
      <c r="M432" s="11" t="s">
        <v>50</v>
      </c>
      <c r="N432" s="12" t="s">
        <v>51</v>
      </c>
      <c r="O432" s="11" t="s">
        <v>27</v>
      </c>
      <c r="P432" s="11" t="s">
        <v>52</v>
      </c>
      <c r="Q432" s="12"/>
    </row>
    <row r="433" customFormat="false" ht="32.8" hidden="false" customHeight="false" outlineLevel="0" collapsed="false">
      <c r="A433" s="11" t="s">
        <v>1610</v>
      </c>
      <c r="B433" s="11" t="s">
        <v>14</v>
      </c>
      <c r="C433" s="11" t="s">
        <v>1527</v>
      </c>
      <c r="D433" s="12" t="s">
        <v>1611</v>
      </c>
      <c r="E433" s="12" t="s">
        <v>1612</v>
      </c>
      <c r="F433" s="12" t="s">
        <v>1613</v>
      </c>
      <c r="G433" s="11" t="s">
        <v>72</v>
      </c>
      <c r="H433" s="11" t="s">
        <v>4</v>
      </c>
      <c r="I433" s="13" t="n">
        <v>0.875</v>
      </c>
      <c r="J433" s="11" t="s">
        <v>49</v>
      </c>
      <c r="K433" s="12" t="s">
        <v>1614</v>
      </c>
      <c r="L433" s="12" t="s">
        <v>1615</v>
      </c>
      <c r="M433" s="11" t="s">
        <v>50</v>
      </c>
      <c r="N433" s="12" t="s">
        <v>51</v>
      </c>
      <c r="O433" s="11" t="s">
        <v>27</v>
      </c>
      <c r="P433" s="11" t="s">
        <v>52</v>
      </c>
      <c r="Q433" s="12"/>
    </row>
    <row r="434" customFormat="false" ht="22.35" hidden="false" customHeight="false" outlineLevel="0" collapsed="false">
      <c r="A434" s="11" t="s">
        <v>1616</v>
      </c>
      <c r="B434" s="11" t="s">
        <v>14</v>
      </c>
      <c r="C434" s="11" t="s">
        <v>1527</v>
      </c>
      <c r="D434" s="12" t="s">
        <v>1617</v>
      </c>
      <c r="E434" s="12" t="s">
        <v>1618</v>
      </c>
      <c r="F434" s="12" t="s">
        <v>1619</v>
      </c>
      <c r="G434" s="11" t="s">
        <v>72</v>
      </c>
      <c r="H434" s="11" t="s">
        <v>4</v>
      </c>
      <c r="I434" s="13" t="n">
        <v>0.975</v>
      </c>
      <c r="J434" s="11" t="s">
        <v>49</v>
      </c>
      <c r="K434" s="12" t="s">
        <v>1620</v>
      </c>
      <c r="L434" s="12" t="s">
        <v>1573</v>
      </c>
      <c r="M434" s="11" t="s">
        <v>50</v>
      </c>
      <c r="N434" s="12" t="s">
        <v>51</v>
      </c>
      <c r="O434" s="11" t="s">
        <v>27</v>
      </c>
      <c r="P434" s="11" t="s">
        <v>52</v>
      </c>
      <c r="Q434" s="12"/>
    </row>
    <row r="435" customFormat="false" ht="22.35" hidden="false" customHeight="false" outlineLevel="0" collapsed="false">
      <c r="A435" s="11" t="s">
        <v>1621</v>
      </c>
      <c r="B435" s="11" t="s">
        <v>14</v>
      </c>
      <c r="C435" s="11" t="s">
        <v>1527</v>
      </c>
      <c r="D435" s="12" t="s">
        <v>1622</v>
      </c>
      <c r="E435" s="12" t="s">
        <v>1623</v>
      </c>
      <c r="F435" s="12" t="s">
        <v>909</v>
      </c>
      <c r="G435" s="11" t="s">
        <v>72</v>
      </c>
      <c r="H435" s="11" t="s">
        <v>4</v>
      </c>
      <c r="I435" s="13" t="n">
        <v>0.818181818181818</v>
      </c>
      <c r="J435" s="11" t="s">
        <v>49</v>
      </c>
      <c r="K435" s="12" t="s">
        <v>1624</v>
      </c>
      <c r="L435" s="12" t="s">
        <v>1625</v>
      </c>
      <c r="M435" s="11" t="s">
        <v>50</v>
      </c>
      <c r="N435" s="12" t="s">
        <v>51</v>
      </c>
      <c r="O435" s="11" t="s">
        <v>27</v>
      </c>
      <c r="P435" s="11" t="s">
        <v>52</v>
      </c>
      <c r="Q435" s="12"/>
    </row>
    <row r="436" customFormat="false" ht="22.35" hidden="false" customHeight="false" outlineLevel="0" collapsed="false">
      <c r="A436" s="11" t="s">
        <v>1626</v>
      </c>
      <c r="B436" s="11" t="s">
        <v>14</v>
      </c>
      <c r="C436" s="11" t="s">
        <v>1527</v>
      </c>
      <c r="D436" s="12" t="s">
        <v>1627</v>
      </c>
      <c r="E436" s="12" t="s">
        <v>1628</v>
      </c>
      <c r="F436" s="12" t="s">
        <v>931</v>
      </c>
      <c r="G436" s="11" t="s">
        <v>72</v>
      </c>
      <c r="H436" s="11" t="s">
        <v>4</v>
      </c>
      <c r="I436" s="13" t="n">
        <v>0.846153846153846</v>
      </c>
      <c r="J436" s="11" t="s">
        <v>49</v>
      </c>
      <c r="K436" s="12" t="s">
        <v>1629</v>
      </c>
      <c r="L436" s="12" t="s">
        <v>1630</v>
      </c>
      <c r="M436" s="11" t="s">
        <v>50</v>
      </c>
      <c r="N436" s="12" t="s">
        <v>51</v>
      </c>
      <c r="O436" s="11" t="s">
        <v>27</v>
      </c>
      <c r="P436" s="11" t="s">
        <v>52</v>
      </c>
      <c r="Q436" s="12"/>
    </row>
    <row r="437" customFormat="false" ht="32.8" hidden="false" customHeight="false" outlineLevel="0" collapsed="false">
      <c r="A437" s="11" t="s">
        <v>1631</v>
      </c>
      <c r="B437" s="11" t="s">
        <v>14</v>
      </c>
      <c r="C437" s="11" t="s">
        <v>1527</v>
      </c>
      <c r="D437" s="12" t="s">
        <v>1632</v>
      </c>
      <c r="E437" s="12" t="s">
        <v>1633</v>
      </c>
      <c r="F437" s="12" t="s">
        <v>956</v>
      </c>
      <c r="G437" s="11" t="s">
        <v>72</v>
      </c>
      <c r="H437" s="11" t="s">
        <v>4</v>
      </c>
      <c r="I437" s="13" t="n">
        <v>0.807692307692308</v>
      </c>
      <c r="J437" s="11" t="s">
        <v>49</v>
      </c>
      <c r="K437" s="12" t="s">
        <v>1634</v>
      </c>
      <c r="L437" s="12" t="s">
        <v>1635</v>
      </c>
      <c r="M437" s="11" t="s">
        <v>50</v>
      </c>
      <c r="N437" s="12" t="s">
        <v>51</v>
      </c>
      <c r="O437" s="11" t="s">
        <v>27</v>
      </c>
      <c r="P437" s="11" t="s">
        <v>52</v>
      </c>
      <c r="Q437" s="12"/>
    </row>
    <row r="438" customFormat="false" ht="22.35" hidden="false" customHeight="false" outlineLevel="0" collapsed="false">
      <c r="A438" s="11" t="s">
        <v>1636</v>
      </c>
      <c r="B438" s="11" t="s">
        <v>14</v>
      </c>
      <c r="C438" s="11" t="s">
        <v>1637</v>
      </c>
      <c r="D438" s="12" t="s">
        <v>1638</v>
      </c>
      <c r="E438" s="12" t="s">
        <v>1639</v>
      </c>
      <c r="F438" s="12" t="s">
        <v>1640</v>
      </c>
      <c r="G438" s="11" t="s">
        <v>59</v>
      </c>
      <c r="H438" s="11" t="s">
        <v>4</v>
      </c>
      <c r="I438" s="13" t="n">
        <v>0.75</v>
      </c>
      <c r="J438" s="11" t="s">
        <v>49</v>
      </c>
      <c r="K438" s="12" t="s">
        <v>1641</v>
      </c>
      <c r="L438" s="12" t="s">
        <v>1642</v>
      </c>
      <c r="M438" s="11" t="s">
        <v>1643</v>
      </c>
      <c r="N438" s="12" t="s">
        <v>51</v>
      </c>
      <c r="O438" s="11" t="s">
        <v>27</v>
      </c>
      <c r="P438" s="11" t="s">
        <v>52</v>
      </c>
      <c r="Q438" s="12"/>
    </row>
    <row r="439" customFormat="false" ht="22.35" hidden="false" customHeight="false" outlineLevel="0" collapsed="false">
      <c r="A439" s="11" t="s">
        <v>1644</v>
      </c>
      <c r="B439" s="11" t="s">
        <v>14</v>
      </c>
      <c r="C439" s="11" t="s">
        <v>1637</v>
      </c>
      <c r="D439" s="12" t="s">
        <v>1645</v>
      </c>
      <c r="E439" s="12" t="s">
        <v>1646</v>
      </c>
      <c r="F439" s="12" t="s">
        <v>1647</v>
      </c>
      <c r="G439" s="11" t="s">
        <v>59</v>
      </c>
      <c r="H439" s="11" t="s">
        <v>4</v>
      </c>
      <c r="I439" s="13" t="n">
        <v>0.785714285714286</v>
      </c>
      <c r="J439" s="11" t="s">
        <v>49</v>
      </c>
      <c r="K439" s="12" t="s">
        <v>1648</v>
      </c>
      <c r="L439" s="12" t="s">
        <v>1649</v>
      </c>
      <c r="M439" s="11" t="s">
        <v>1643</v>
      </c>
      <c r="N439" s="12" t="s">
        <v>51</v>
      </c>
      <c r="O439" s="11" t="s">
        <v>27</v>
      </c>
      <c r="P439" s="11" t="s">
        <v>52</v>
      </c>
      <c r="Q439" s="12"/>
    </row>
    <row r="440" customFormat="false" ht="32.8" hidden="false" customHeight="false" outlineLevel="0" collapsed="false">
      <c r="A440" s="11" t="s">
        <v>1650</v>
      </c>
      <c r="B440" s="11" t="s">
        <v>14</v>
      </c>
      <c r="C440" s="11" t="s">
        <v>1637</v>
      </c>
      <c r="D440" s="12" t="s">
        <v>1651</v>
      </c>
      <c r="E440" s="12" t="s">
        <v>1652</v>
      </c>
      <c r="F440" s="12" t="s">
        <v>1653</v>
      </c>
      <c r="G440" s="11" t="s">
        <v>59</v>
      </c>
      <c r="H440" s="11" t="s">
        <v>4</v>
      </c>
      <c r="I440" s="13" t="n">
        <v>0.761904761904762</v>
      </c>
      <c r="J440" s="11" t="s">
        <v>49</v>
      </c>
      <c r="K440" s="12" t="s">
        <v>1654</v>
      </c>
      <c r="L440" s="12" t="s">
        <v>1655</v>
      </c>
      <c r="M440" s="11" t="s">
        <v>1643</v>
      </c>
      <c r="N440" s="12" t="s">
        <v>51</v>
      </c>
      <c r="O440" s="11" t="s">
        <v>27</v>
      </c>
      <c r="P440" s="11" t="s">
        <v>52</v>
      </c>
      <c r="Q440" s="12"/>
    </row>
    <row r="441" customFormat="false" ht="74.6" hidden="false" customHeight="false" outlineLevel="0" collapsed="false">
      <c r="A441" s="11" t="s">
        <v>1656</v>
      </c>
      <c r="B441" s="11" t="s">
        <v>14</v>
      </c>
      <c r="C441" s="11" t="s">
        <v>1637</v>
      </c>
      <c r="D441" s="12" t="s">
        <v>1546</v>
      </c>
      <c r="E441" s="12" t="s">
        <v>1657</v>
      </c>
      <c r="F441" s="12" t="s">
        <v>1658</v>
      </c>
      <c r="G441" s="11" t="s">
        <v>59</v>
      </c>
      <c r="H441" s="11" t="s">
        <v>4</v>
      </c>
      <c r="I441" s="13" t="n">
        <v>0.621621621621622</v>
      </c>
      <c r="J441" s="11" t="s">
        <v>49</v>
      </c>
      <c r="K441" s="12" t="s">
        <v>1659</v>
      </c>
      <c r="L441" s="12" t="s">
        <v>1660</v>
      </c>
      <c r="M441" s="11" t="s">
        <v>1643</v>
      </c>
      <c r="N441" s="12" t="s">
        <v>51</v>
      </c>
      <c r="O441" s="11" t="s">
        <v>27</v>
      </c>
      <c r="P441" s="11" t="s">
        <v>52</v>
      </c>
      <c r="Q441" s="12"/>
    </row>
    <row r="442" customFormat="false" ht="32.8" hidden="false" customHeight="false" outlineLevel="0" collapsed="false">
      <c r="A442" s="11" t="s">
        <v>1661</v>
      </c>
      <c r="B442" s="11" t="s">
        <v>14</v>
      </c>
      <c r="C442" s="11" t="s">
        <v>1637</v>
      </c>
      <c r="D442" s="12" t="s">
        <v>1552</v>
      </c>
      <c r="E442" s="12" t="s">
        <v>1662</v>
      </c>
      <c r="F442" s="12" t="s">
        <v>1663</v>
      </c>
      <c r="G442" s="11" t="s">
        <v>59</v>
      </c>
      <c r="H442" s="11" t="s">
        <v>4</v>
      </c>
      <c r="I442" s="13" t="n">
        <v>0.8125</v>
      </c>
      <c r="J442" s="11" t="s">
        <v>49</v>
      </c>
      <c r="K442" s="12" t="s">
        <v>1664</v>
      </c>
      <c r="L442" s="12" t="s">
        <v>1665</v>
      </c>
      <c r="M442" s="11" t="s">
        <v>1643</v>
      </c>
      <c r="N442" s="12" t="s">
        <v>51</v>
      </c>
      <c r="O442" s="11" t="s">
        <v>27</v>
      </c>
      <c r="P442" s="11" t="s">
        <v>52</v>
      </c>
      <c r="Q442" s="12"/>
    </row>
    <row r="443" customFormat="false" ht="43.25" hidden="false" customHeight="false" outlineLevel="0" collapsed="false">
      <c r="A443" s="11" t="s">
        <v>1666</v>
      </c>
      <c r="B443" s="11" t="s">
        <v>14</v>
      </c>
      <c r="C443" s="11" t="s">
        <v>1637</v>
      </c>
      <c r="D443" s="12" t="s">
        <v>1667</v>
      </c>
      <c r="E443" s="12" t="s">
        <v>1668</v>
      </c>
      <c r="F443" s="12" t="s">
        <v>1669</v>
      </c>
      <c r="G443" s="11" t="s">
        <v>59</v>
      </c>
      <c r="H443" s="11" t="s">
        <v>4</v>
      </c>
      <c r="I443" s="13" t="n">
        <v>0.703703703703704</v>
      </c>
      <c r="J443" s="11" t="s">
        <v>49</v>
      </c>
      <c r="K443" s="12" t="s">
        <v>1670</v>
      </c>
      <c r="L443" s="12" t="s">
        <v>1671</v>
      </c>
      <c r="M443" s="11" t="s">
        <v>1643</v>
      </c>
      <c r="N443" s="12" t="s">
        <v>51</v>
      </c>
      <c r="O443" s="11" t="s">
        <v>27</v>
      </c>
      <c r="P443" s="11" t="s">
        <v>52</v>
      </c>
      <c r="Q443" s="12"/>
    </row>
    <row r="444" customFormat="false" ht="43.25" hidden="false" customHeight="false" outlineLevel="0" collapsed="false">
      <c r="A444" s="11" t="s">
        <v>1672</v>
      </c>
      <c r="B444" s="11" t="s">
        <v>14</v>
      </c>
      <c r="C444" s="11" t="s">
        <v>1637</v>
      </c>
      <c r="D444" s="12" t="s">
        <v>1564</v>
      </c>
      <c r="E444" s="12" t="s">
        <v>1673</v>
      </c>
      <c r="F444" s="12" t="s">
        <v>1674</v>
      </c>
      <c r="G444" s="11" t="s">
        <v>59</v>
      </c>
      <c r="H444" s="11" t="s">
        <v>4</v>
      </c>
      <c r="I444" s="13" t="n">
        <v>0.76</v>
      </c>
      <c r="J444" s="11" t="s">
        <v>49</v>
      </c>
      <c r="K444" s="12" t="s">
        <v>1675</v>
      </c>
      <c r="L444" s="12" t="s">
        <v>1676</v>
      </c>
      <c r="M444" s="11" t="s">
        <v>1643</v>
      </c>
      <c r="N444" s="12" t="s">
        <v>51</v>
      </c>
      <c r="O444" s="11" t="s">
        <v>27</v>
      </c>
      <c r="P444" s="11" t="s">
        <v>52</v>
      </c>
      <c r="Q444" s="12"/>
    </row>
    <row r="445" customFormat="false" ht="22.35" hidden="false" customHeight="false" outlineLevel="0" collapsed="false">
      <c r="A445" s="11" t="s">
        <v>1677</v>
      </c>
      <c r="B445" s="11" t="s">
        <v>14</v>
      </c>
      <c r="C445" s="11" t="s">
        <v>1637</v>
      </c>
      <c r="D445" s="12" t="s">
        <v>1569</v>
      </c>
      <c r="E445" s="12" t="s">
        <v>1678</v>
      </c>
      <c r="F445" s="12" t="s">
        <v>1679</v>
      </c>
      <c r="G445" s="11" t="s">
        <v>59</v>
      </c>
      <c r="H445" s="11" t="s">
        <v>4</v>
      </c>
      <c r="I445" s="13" t="n">
        <v>0.892857142857143</v>
      </c>
      <c r="J445" s="11" t="s">
        <v>49</v>
      </c>
      <c r="K445" s="12" t="s">
        <v>1680</v>
      </c>
      <c r="L445" s="12" t="s">
        <v>1681</v>
      </c>
      <c r="M445" s="11" t="s">
        <v>1643</v>
      </c>
      <c r="N445" s="12" t="s">
        <v>51</v>
      </c>
      <c r="O445" s="11" t="s">
        <v>27</v>
      </c>
      <c r="P445" s="11" t="s">
        <v>52</v>
      </c>
      <c r="Q445" s="12"/>
    </row>
    <row r="446" customFormat="false" ht="32.8" hidden="false" customHeight="false" outlineLevel="0" collapsed="false">
      <c r="A446" s="11" t="s">
        <v>1682</v>
      </c>
      <c r="B446" s="11" t="s">
        <v>14</v>
      </c>
      <c r="C446" s="11" t="s">
        <v>1637</v>
      </c>
      <c r="D446" s="12" t="s">
        <v>1683</v>
      </c>
      <c r="E446" s="12" t="s">
        <v>1684</v>
      </c>
      <c r="F446" s="12" t="s">
        <v>1685</v>
      </c>
      <c r="G446" s="11" t="s">
        <v>59</v>
      </c>
      <c r="H446" s="11" t="s">
        <v>4</v>
      </c>
      <c r="I446" s="13" t="n">
        <v>0.897435897435898</v>
      </c>
      <c r="J446" s="11" t="s">
        <v>49</v>
      </c>
      <c r="K446" s="12" t="s">
        <v>1686</v>
      </c>
      <c r="L446" s="12" t="s">
        <v>1687</v>
      </c>
      <c r="M446" s="11" t="s">
        <v>1643</v>
      </c>
      <c r="N446" s="12" t="s">
        <v>51</v>
      </c>
      <c r="O446" s="11" t="s">
        <v>27</v>
      </c>
      <c r="P446" s="11" t="s">
        <v>52</v>
      </c>
      <c r="Q446" s="12"/>
    </row>
    <row r="447" customFormat="false" ht="22.35" hidden="false" customHeight="false" outlineLevel="0" collapsed="false">
      <c r="A447" s="11" t="s">
        <v>1688</v>
      </c>
      <c r="B447" s="11" t="s">
        <v>14</v>
      </c>
      <c r="C447" s="11" t="s">
        <v>1637</v>
      </c>
      <c r="D447" s="12" t="s">
        <v>1689</v>
      </c>
      <c r="E447" s="12" t="s">
        <v>1690</v>
      </c>
      <c r="F447" s="12" t="s">
        <v>1691</v>
      </c>
      <c r="G447" s="11" t="s">
        <v>59</v>
      </c>
      <c r="H447" s="11" t="s">
        <v>4</v>
      </c>
      <c r="I447" s="13" t="n">
        <v>0.911764705882353</v>
      </c>
      <c r="J447" s="11" t="s">
        <v>49</v>
      </c>
      <c r="K447" s="12" t="s">
        <v>1692</v>
      </c>
      <c r="L447" s="12" t="s">
        <v>1693</v>
      </c>
      <c r="M447" s="11" t="s">
        <v>1643</v>
      </c>
      <c r="N447" s="12" t="s">
        <v>51</v>
      </c>
      <c r="O447" s="11" t="s">
        <v>27</v>
      </c>
      <c r="P447" s="11" t="s">
        <v>52</v>
      </c>
      <c r="Q447" s="12"/>
    </row>
    <row r="448" customFormat="false" ht="22.35" hidden="false" customHeight="false" outlineLevel="0" collapsed="false">
      <c r="A448" s="11" t="s">
        <v>1694</v>
      </c>
      <c r="B448" s="11" t="s">
        <v>14</v>
      </c>
      <c r="C448" s="11" t="s">
        <v>1637</v>
      </c>
      <c r="D448" s="12" t="s">
        <v>1695</v>
      </c>
      <c r="E448" s="12" t="s">
        <v>1696</v>
      </c>
      <c r="F448" s="12" t="s">
        <v>1697</v>
      </c>
      <c r="G448" s="11" t="s">
        <v>59</v>
      </c>
      <c r="H448" s="11" t="s">
        <v>4</v>
      </c>
      <c r="I448" s="13" t="n">
        <v>0.925</v>
      </c>
      <c r="J448" s="11" t="s">
        <v>49</v>
      </c>
      <c r="K448" s="12" t="s">
        <v>1698</v>
      </c>
      <c r="L448" s="12" t="s">
        <v>1699</v>
      </c>
      <c r="M448" s="11" t="s">
        <v>1643</v>
      </c>
      <c r="N448" s="12" t="s">
        <v>51</v>
      </c>
      <c r="O448" s="11" t="s">
        <v>27</v>
      </c>
      <c r="P448" s="11" t="s">
        <v>52</v>
      </c>
      <c r="Q448" s="12"/>
    </row>
    <row r="449" customFormat="false" ht="22.35" hidden="false" customHeight="false" outlineLevel="0" collapsed="false">
      <c r="A449" s="11" t="s">
        <v>1700</v>
      </c>
      <c r="B449" s="11" t="s">
        <v>14</v>
      </c>
      <c r="C449" s="11" t="s">
        <v>1637</v>
      </c>
      <c r="D449" s="12" t="s">
        <v>1701</v>
      </c>
      <c r="E449" s="12" t="s">
        <v>1702</v>
      </c>
      <c r="F449" s="12" t="s">
        <v>1703</v>
      </c>
      <c r="G449" s="11" t="s">
        <v>59</v>
      </c>
      <c r="H449" s="11" t="s">
        <v>4</v>
      </c>
      <c r="I449" s="13" t="n">
        <v>0.935483870967742</v>
      </c>
      <c r="J449" s="11" t="s">
        <v>49</v>
      </c>
      <c r="K449" s="12" t="s">
        <v>1704</v>
      </c>
      <c r="L449" s="12" t="s">
        <v>1705</v>
      </c>
      <c r="M449" s="11" t="s">
        <v>1643</v>
      </c>
      <c r="N449" s="12" t="s">
        <v>51</v>
      </c>
      <c r="O449" s="11" t="s">
        <v>27</v>
      </c>
      <c r="P449" s="11" t="s">
        <v>52</v>
      </c>
      <c r="Q449" s="12"/>
    </row>
    <row r="450" customFormat="false" ht="22.35" hidden="false" customHeight="false" outlineLevel="0" collapsed="false">
      <c r="A450" s="11" t="s">
        <v>1706</v>
      </c>
      <c r="B450" s="11" t="s">
        <v>14</v>
      </c>
      <c r="C450" s="11" t="s">
        <v>1637</v>
      </c>
      <c r="D450" s="12" t="s">
        <v>1707</v>
      </c>
      <c r="E450" s="12" t="s">
        <v>1708</v>
      </c>
      <c r="F450" s="12" t="s">
        <v>1709</v>
      </c>
      <c r="G450" s="11" t="s">
        <v>59</v>
      </c>
      <c r="H450" s="11" t="s">
        <v>4</v>
      </c>
      <c r="I450" s="13" t="n">
        <v>0.96551724137931</v>
      </c>
      <c r="J450" s="11" t="s">
        <v>49</v>
      </c>
      <c r="K450" s="12" t="s">
        <v>1710</v>
      </c>
      <c r="L450" s="12" t="s">
        <v>1711</v>
      </c>
      <c r="M450" s="11" t="s">
        <v>1643</v>
      </c>
      <c r="N450" s="12" t="s">
        <v>51</v>
      </c>
      <c r="O450" s="11" t="s">
        <v>27</v>
      </c>
      <c r="P450" s="11" t="s">
        <v>52</v>
      </c>
      <c r="Q450" s="12"/>
    </row>
    <row r="451" customFormat="false" ht="22.35" hidden="false" customHeight="false" outlineLevel="0" collapsed="false">
      <c r="A451" s="11" t="s">
        <v>1712</v>
      </c>
      <c r="B451" s="11" t="s">
        <v>14</v>
      </c>
      <c r="C451" s="11" t="s">
        <v>1637</v>
      </c>
      <c r="D451" s="12" t="s">
        <v>1713</v>
      </c>
      <c r="E451" s="12" t="s">
        <v>1714</v>
      </c>
      <c r="F451" s="12" t="s">
        <v>1715</v>
      </c>
      <c r="G451" s="11" t="s">
        <v>59</v>
      </c>
      <c r="H451" s="11" t="s">
        <v>4</v>
      </c>
      <c r="I451" s="13" t="n">
        <v>0.95</v>
      </c>
      <c r="J451" s="11" t="s">
        <v>49</v>
      </c>
      <c r="K451" s="12" t="s">
        <v>1716</v>
      </c>
      <c r="L451" s="12" t="s">
        <v>1717</v>
      </c>
      <c r="M451" s="11" t="s">
        <v>1643</v>
      </c>
      <c r="N451" s="12" t="s">
        <v>51</v>
      </c>
      <c r="O451" s="11" t="s">
        <v>27</v>
      </c>
      <c r="P451" s="11" t="s">
        <v>52</v>
      </c>
      <c r="Q451" s="12"/>
    </row>
    <row r="452" customFormat="false" ht="22.35" hidden="false" customHeight="false" outlineLevel="0" collapsed="false">
      <c r="A452" s="11" t="s">
        <v>1718</v>
      </c>
      <c r="B452" s="11" t="s">
        <v>14</v>
      </c>
      <c r="C452" s="11" t="s">
        <v>1637</v>
      </c>
      <c r="D452" s="12" t="s">
        <v>1719</v>
      </c>
      <c r="E452" s="12" t="s">
        <v>1720</v>
      </c>
      <c r="F452" s="12" t="s">
        <v>1721</v>
      </c>
      <c r="G452" s="11" t="s">
        <v>59</v>
      </c>
      <c r="H452" s="11" t="s">
        <v>4</v>
      </c>
      <c r="I452" s="13" t="n">
        <v>0.925</v>
      </c>
      <c r="J452" s="11" t="s">
        <v>49</v>
      </c>
      <c r="K452" s="12" t="s">
        <v>1722</v>
      </c>
      <c r="L452" s="12" t="s">
        <v>1723</v>
      </c>
      <c r="M452" s="11" t="s">
        <v>1643</v>
      </c>
      <c r="N452" s="12" t="s">
        <v>51</v>
      </c>
      <c r="O452" s="11" t="s">
        <v>27</v>
      </c>
      <c r="P452" s="11" t="s">
        <v>52</v>
      </c>
      <c r="Q452" s="12"/>
    </row>
    <row r="453" customFormat="false" ht="22.35" hidden="false" customHeight="false" outlineLevel="0" collapsed="false">
      <c r="A453" s="11" t="s">
        <v>1724</v>
      </c>
      <c r="B453" s="11" t="s">
        <v>14</v>
      </c>
      <c r="C453" s="11" t="s">
        <v>1637</v>
      </c>
      <c r="D453" s="12" t="s">
        <v>1725</v>
      </c>
      <c r="E453" s="12" t="s">
        <v>1726</v>
      </c>
      <c r="F453" s="12" t="s">
        <v>1727</v>
      </c>
      <c r="G453" s="11" t="s">
        <v>59</v>
      </c>
      <c r="H453" s="11" t="s">
        <v>4</v>
      </c>
      <c r="I453" s="13" t="n">
        <v>0.95</v>
      </c>
      <c r="J453" s="11" t="s">
        <v>49</v>
      </c>
      <c r="K453" s="12" t="s">
        <v>1728</v>
      </c>
      <c r="L453" s="12" t="s">
        <v>1729</v>
      </c>
      <c r="M453" s="11" t="s">
        <v>1643</v>
      </c>
      <c r="N453" s="12" t="s">
        <v>51</v>
      </c>
      <c r="O453" s="11" t="s">
        <v>27</v>
      </c>
      <c r="P453" s="11" t="s">
        <v>52</v>
      </c>
      <c r="Q453" s="12"/>
    </row>
    <row r="454" customFormat="false" ht="22.35" hidden="false" customHeight="false" outlineLevel="0" collapsed="false">
      <c r="A454" s="11" t="s">
        <v>1730</v>
      </c>
      <c r="B454" s="11" t="s">
        <v>14</v>
      </c>
      <c r="C454" s="11" t="s">
        <v>1637</v>
      </c>
      <c r="D454" s="12" t="s">
        <v>1622</v>
      </c>
      <c r="E454" s="12" t="s">
        <v>1731</v>
      </c>
      <c r="F454" s="12" t="s">
        <v>1732</v>
      </c>
      <c r="G454" s="11" t="s">
        <v>59</v>
      </c>
      <c r="H454" s="11" t="s">
        <v>4</v>
      </c>
      <c r="I454" s="13" t="n">
        <v>0.833333333333333</v>
      </c>
      <c r="J454" s="11" t="s">
        <v>49</v>
      </c>
      <c r="K454" s="12" t="s">
        <v>1733</v>
      </c>
      <c r="L454" s="12" t="s">
        <v>1734</v>
      </c>
      <c r="M454" s="11" t="s">
        <v>1643</v>
      </c>
      <c r="N454" s="12" t="s">
        <v>51</v>
      </c>
      <c r="O454" s="11" t="s">
        <v>27</v>
      </c>
      <c r="P454" s="11" t="s">
        <v>52</v>
      </c>
      <c r="Q454" s="12"/>
    </row>
    <row r="455" customFormat="false" ht="22.35" hidden="false" customHeight="false" outlineLevel="0" collapsed="false">
      <c r="A455" s="11" t="s">
        <v>1735</v>
      </c>
      <c r="B455" s="11" t="s">
        <v>14</v>
      </c>
      <c r="C455" s="11" t="s">
        <v>1637</v>
      </c>
      <c r="D455" s="12" t="s">
        <v>1736</v>
      </c>
      <c r="E455" s="12" t="s">
        <v>1737</v>
      </c>
      <c r="F455" s="12" t="s">
        <v>1738</v>
      </c>
      <c r="G455" s="11" t="s">
        <v>59</v>
      </c>
      <c r="H455" s="11" t="s">
        <v>4</v>
      </c>
      <c r="I455" s="13" t="n">
        <v>0.925925925925926</v>
      </c>
      <c r="J455" s="11" t="s">
        <v>49</v>
      </c>
      <c r="K455" s="12" t="s">
        <v>1739</v>
      </c>
      <c r="L455" s="12" t="s">
        <v>1740</v>
      </c>
      <c r="M455" s="11" t="s">
        <v>1643</v>
      </c>
      <c r="N455" s="12" t="s">
        <v>51</v>
      </c>
      <c r="O455" s="11" t="s">
        <v>27</v>
      </c>
      <c r="P455" s="11" t="s">
        <v>52</v>
      </c>
      <c r="Q455" s="12"/>
    </row>
    <row r="456" customFormat="false" ht="32.8" hidden="false" customHeight="false" outlineLevel="0" collapsed="false">
      <c r="A456" s="11" t="s">
        <v>1741</v>
      </c>
      <c r="B456" s="11" t="s">
        <v>14</v>
      </c>
      <c r="C456" s="11" t="s">
        <v>1637</v>
      </c>
      <c r="D456" s="12" t="s">
        <v>1742</v>
      </c>
      <c r="E456" s="12" t="s">
        <v>1743</v>
      </c>
      <c r="F456" s="12" t="s">
        <v>1744</v>
      </c>
      <c r="G456" s="11" t="s">
        <v>59</v>
      </c>
      <c r="H456" s="11" t="s">
        <v>4</v>
      </c>
      <c r="I456" s="13" t="n">
        <v>0.807692307692308</v>
      </c>
      <c r="J456" s="11" t="s">
        <v>49</v>
      </c>
      <c r="K456" s="12" t="s">
        <v>1745</v>
      </c>
      <c r="L456" s="12" t="s">
        <v>1746</v>
      </c>
      <c r="M456" s="11" t="s">
        <v>1643</v>
      </c>
      <c r="N456" s="12" t="s">
        <v>51</v>
      </c>
      <c r="O456" s="11" t="s">
        <v>27</v>
      </c>
      <c r="P456" s="11" t="s">
        <v>52</v>
      </c>
      <c r="Q456" s="12"/>
    </row>
    <row r="457" customFormat="false" ht="43.25" hidden="false" customHeight="false" outlineLevel="0" collapsed="false">
      <c r="A457" s="11" t="s">
        <v>1747</v>
      </c>
      <c r="B457" s="11" t="s">
        <v>14</v>
      </c>
      <c r="C457" s="11" t="s">
        <v>1637</v>
      </c>
      <c r="D457" s="12" t="s">
        <v>1748</v>
      </c>
      <c r="E457" s="12" t="s">
        <v>1749</v>
      </c>
      <c r="F457" s="12" t="s">
        <v>1750</v>
      </c>
      <c r="G457" s="11" t="s">
        <v>59</v>
      </c>
      <c r="H457" s="11" t="s">
        <v>4</v>
      </c>
      <c r="I457" s="13" t="n">
        <v>0.823529411764706</v>
      </c>
      <c r="J457" s="11" t="s">
        <v>49</v>
      </c>
      <c r="K457" s="12" t="s">
        <v>1751</v>
      </c>
      <c r="L457" s="12" t="s">
        <v>1752</v>
      </c>
      <c r="M457" s="11" t="s">
        <v>1643</v>
      </c>
      <c r="N457" s="12" t="s">
        <v>51</v>
      </c>
      <c r="O457" s="11" t="s">
        <v>27</v>
      </c>
      <c r="P457" s="11" t="s">
        <v>52</v>
      </c>
      <c r="Q457" s="12"/>
    </row>
    <row r="458" customFormat="false" ht="22.35" hidden="false" customHeight="false" outlineLevel="0" collapsed="false">
      <c r="A458" s="11" t="s">
        <v>1753</v>
      </c>
      <c r="B458" s="11" t="s">
        <v>14</v>
      </c>
      <c r="C458" s="11" t="s">
        <v>1637</v>
      </c>
      <c r="D458" s="12" t="s">
        <v>1754</v>
      </c>
      <c r="E458" s="12" t="s">
        <v>1755</v>
      </c>
      <c r="F458" s="12" t="s">
        <v>1756</v>
      </c>
      <c r="G458" s="11" t="s">
        <v>59</v>
      </c>
      <c r="H458" s="11" t="s">
        <v>4</v>
      </c>
      <c r="I458" s="13" t="n">
        <v>0.916666666666667</v>
      </c>
      <c r="J458" s="11" t="s">
        <v>49</v>
      </c>
      <c r="K458" s="12" t="s">
        <v>1757</v>
      </c>
      <c r="L458" s="12" t="s">
        <v>1758</v>
      </c>
      <c r="M458" s="11" t="s">
        <v>1643</v>
      </c>
      <c r="N458" s="12" t="s">
        <v>51</v>
      </c>
      <c r="O458" s="11" t="s">
        <v>27</v>
      </c>
      <c r="P458" s="11" t="s">
        <v>52</v>
      </c>
      <c r="Q458" s="12"/>
    </row>
    <row r="459" customFormat="false" ht="43.25" hidden="false" customHeight="false" outlineLevel="0" collapsed="false">
      <c r="A459" s="11" t="s">
        <v>1759</v>
      </c>
      <c r="B459" s="11" t="s">
        <v>14</v>
      </c>
      <c r="C459" s="11" t="s">
        <v>1637</v>
      </c>
      <c r="D459" s="12" t="s">
        <v>1760</v>
      </c>
      <c r="E459" s="12" t="s">
        <v>1761</v>
      </c>
      <c r="F459" s="12" t="s">
        <v>1762</v>
      </c>
      <c r="G459" s="11" t="s">
        <v>59</v>
      </c>
      <c r="H459" s="11" t="s">
        <v>4</v>
      </c>
      <c r="I459" s="13" t="n">
        <v>0.825</v>
      </c>
      <c r="J459" s="11" t="s">
        <v>49</v>
      </c>
      <c r="K459" s="12" t="s">
        <v>1763</v>
      </c>
      <c r="L459" s="12" t="s">
        <v>1764</v>
      </c>
      <c r="M459" s="11" t="s">
        <v>1643</v>
      </c>
      <c r="N459" s="12" t="s">
        <v>51</v>
      </c>
      <c r="O459" s="11" t="s">
        <v>27</v>
      </c>
      <c r="P459" s="11" t="s">
        <v>52</v>
      </c>
      <c r="Q459" s="12"/>
    </row>
    <row r="460" customFormat="false" ht="22.35" hidden="false" customHeight="false" outlineLevel="0" collapsed="false">
      <c r="A460" s="11" t="s">
        <v>1765</v>
      </c>
      <c r="B460" s="11" t="s">
        <v>14</v>
      </c>
      <c r="C460" s="11" t="s">
        <v>1637</v>
      </c>
      <c r="D460" s="12" t="s">
        <v>1766</v>
      </c>
      <c r="E460" s="12" t="s">
        <v>1767</v>
      </c>
      <c r="F460" s="12" t="s">
        <v>1768</v>
      </c>
      <c r="G460" s="11" t="s">
        <v>59</v>
      </c>
      <c r="H460" s="11" t="s">
        <v>4</v>
      </c>
      <c r="I460" s="13" t="n">
        <v>0.884615384615385</v>
      </c>
      <c r="J460" s="11" t="s">
        <v>49</v>
      </c>
      <c r="K460" s="12" t="s">
        <v>1769</v>
      </c>
      <c r="L460" s="12" t="s">
        <v>1770</v>
      </c>
      <c r="M460" s="11" t="s">
        <v>1643</v>
      </c>
      <c r="N460" s="12" t="s">
        <v>51</v>
      </c>
      <c r="O460" s="11" t="s">
        <v>27</v>
      </c>
      <c r="P460" s="11" t="s">
        <v>52</v>
      </c>
      <c r="Q460" s="12"/>
    </row>
    <row r="461" customFormat="false" ht="32.8" hidden="false" customHeight="false" outlineLevel="0" collapsed="false">
      <c r="A461" s="11" t="s">
        <v>1771</v>
      </c>
      <c r="B461" s="11" t="s">
        <v>14</v>
      </c>
      <c r="C461" s="11" t="s">
        <v>1637</v>
      </c>
      <c r="D461" s="12" t="s">
        <v>1772</v>
      </c>
      <c r="E461" s="12" t="s">
        <v>1773</v>
      </c>
      <c r="F461" s="12" t="s">
        <v>1774</v>
      </c>
      <c r="G461" s="11" t="s">
        <v>1775</v>
      </c>
      <c r="H461" s="11" t="s">
        <v>4</v>
      </c>
      <c r="I461" s="13" t="n">
        <v>0.761904761904762</v>
      </c>
      <c r="J461" s="11" t="s">
        <v>49</v>
      </c>
      <c r="K461" s="12" t="s">
        <v>1776</v>
      </c>
      <c r="L461" s="12" t="s">
        <v>1777</v>
      </c>
      <c r="M461" s="11" t="s">
        <v>1643</v>
      </c>
      <c r="N461" s="12" t="s">
        <v>51</v>
      </c>
      <c r="O461" s="11" t="s">
        <v>27</v>
      </c>
      <c r="P461" s="11" t="s">
        <v>52</v>
      </c>
      <c r="Q461" s="12"/>
    </row>
    <row r="462" customFormat="false" ht="22.35" hidden="false" customHeight="false" outlineLevel="0" collapsed="false">
      <c r="A462" s="11" t="s">
        <v>1778</v>
      </c>
      <c r="B462" s="11" t="s">
        <v>14</v>
      </c>
      <c r="C462" s="11" t="s">
        <v>1637</v>
      </c>
      <c r="D462" s="12" t="s">
        <v>1779</v>
      </c>
      <c r="E462" s="12" t="s">
        <v>1780</v>
      </c>
      <c r="F462" s="12" t="s">
        <v>1781</v>
      </c>
      <c r="G462" s="11" t="s">
        <v>59</v>
      </c>
      <c r="H462" s="11" t="s">
        <v>9</v>
      </c>
      <c r="I462" s="13"/>
      <c r="J462" s="11" t="s">
        <v>49</v>
      </c>
      <c r="K462" s="12" t="s">
        <v>1782</v>
      </c>
      <c r="L462" s="12"/>
      <c r="M462" s="11" t="s">
        <v>1643</v>
      </c>
      <c r="N462" s="12" t="s">
        <v>51</v>
      </c>
      <c r="O462" s="11" t="s">
        <v>28</v>
      </c>
      <c r="P462" s="11" t="s">
        <v>52</v>
      </c>
      <c r="Q462" s="12" t="s">
        <v>60</v>
      </c>
    </row>
    <row r="463" customFormat="false" ht="22.35" hidden="false" customHeight="false" outlineLevel="0" collapsed="false">
      <c r="A463" s="11" t="s">
        <v>1783</v>
      </c>
      <c r="B463" s="11" t="s">
        <v>14</v>
      </c>
      <c r="C463" s="11" t="s">
        <v>1637</v>
      </c>
      <c r="D463" s="12" t="s">
        <v>1784</v>
      </c>
      <c r="E463" s="12" t="s">
        <v>1785</v>
      </c>
      <c r="F463" s="12" t="s">
        <v>1786</v>
      </c>
      <c r="G463" s="11" t="s">
        <v>72</v>
      </c>
      <c r="H463" s="11" t="s">
        <v>4</v>
      </c>
      <c r="I463" s="13" t="n">
        <v>0.95</v>
      </c>
      <c r="J463" s="11" t="s">
        <v>49</v>
      </c>
      <c r="K463" s="12" t="s">
        <v>1787</v>
      </c>
      <c r="L463" s="12" t="s">
        <v>1788</v>
      </c>
      <c r="M463" s="11" t="s">
        <v>1643</v>
      </c>
      <c r="N463" s="12" t="s">
        <v>51</v>
      </c>
      <c r="O463" s="11" t="s">
        <v>27</v>
      </c>
      <c r="P463" s="11" t="s">
        <v>52</v>
      </c>
      <c r="Q463" s="12"/>
    </row>
    <row r="464" customFormat="false" ht="22.35" hidden="false" customHeight="false" outlineLevel="0" collapsed="false">
      <c r="A464" s="11" t="s">
        <v>1789</v>
      </c>
      <c r="B464" s="11" t="s">
        <v>14</v>
      </c>
      <c r="C464" s="11" t="s">
        <v>1790</v>
      </c>
      <c r="D464" s="12" t="s">
        <v>1791</v>
      </c>
      <c r="E464" s="12" t="s">
        <v>1792</v>
      </c>
      <c r="F464" s="12" t="s">
        <v>1793</v>
      </c>
      <c r="G464" s="11" t="s">
        <v>59</v>
      </c>
      <c r="H464" s="11" t="s">
        <v>4</v>
      </c>
      <c r="I464" s="13" t="n">
        <v>0.9375</v>
      </c>
      <c r="J464" s="11" t="s">
        <v>49</v>
      </c>
      <c r="K464" s="12" t="s">
        <v>1794</v>
      </c>
      <c r="L464" s="12" t="s">
        <v>1795</v>
      </c>
      <c r="M464" s="11" t="s">
        <v>50</v>
      </c>
      <c r="N464" s="12" t="s">
        <v>51</v>
      </c>
      <c r="O464" s="11" t="s">
        <v>27</v>
      </c>
      <c r="P464" s="11" t="s">
        <v>52</v>
      </c>
      <c r="Q464" s="12"/>
    </row>
    <row r="465" customFormat="false" ht="22.35" hidden="false" customHeight="false" outlineLevel="0" collapsed="false">
      <c r="A465" s="11" t="s">
        <v>1796</v>
      </c>
      <c r="B465" s="11" t="s">
        <v>14</v>
      </c>
      <c r="C465" s="11" t="s">
        <v>1797</v>
      </c>
      <c r="D465" s="12" t="s">
        <v>1798</v>
      </c>
      <c r="E465" s="12" t="s">
        <v>1799</v>
      </c>
      <c r="F465" s="12" t="s">
        <v>1800</v>
      </c>
      <c r="G465" s="11" t="s">
        <v>59</v>
      </c>
      <c r="H465" s="11" t="s">
        <v>5</v>
      </c>
      <c r="I465" s="13" t="n">
        <v>0.538461538461538</v>
      </c>
      <c r="J465" s="11" t="s">
        <v>49</v>
      </c>
      <c r="K465" s="12" t="s">
        <v>1801</v>
      </c>
      <c r="L465" s="12" t="s">
        <v>1802</v>
      </c>
      <c r="M465" s="11" t="s">
        <v>50</v>
      </c>
      <c r="N465" s="12" t="s">
        <v>1803</v>
      </c>
      <c r="O465" s="11" t="s">
        <v>25</v>
      </c>
      <c r="P465" s="11" t="s">
        <v>52</v>
      </c>
      <c r="Q465" s="12"/>
    </row>
    <row r="466" customFormat="false" ht="15" hidden="false" customHeight="false" outlineLevel="0" collapsed="false">
      <c r="A466" s="11" t="s">
        <v>1804</v>
      </c>
      <c r="B466" s="11" t="s">
        <v>15</v>
      </c>
      <c r="C466" s="11" t="s">
        <v>1805</v>
      </c>
      <c r="D466" s="12" t="s">
        <v>1806</v>
      </c>
      <c r="E466" s="12" t="s">
        <v>1807</v>
      </c>
      <c r="F466" s="12" t="s">
        <v>1806</v>
      </c>
      <c r="G466" s="11" t="s">
        <v>1808</v>
      </c>
      <c r="H466" s="11" t="s">
        <v>10</v>
      </c>
      <c r="I466" s="13"/>
      <c r="J466" s="11" t="s">
        <v>49</v>
      </c>
      <c r="K466" s="12"/>
      <c r="L466" s="12"/>
      <c r="M466" s="11" t="s">
        <v>1809</v>
      </c>
      <c r="N466" s="12" t="s">
        <v>51</v>
      </c>
      <c r="O466" s="11" t="s">
        <v>28</v>
      </c>
      <c r="P466" s="11" t="s">
        <v>52</v>
      </c>
      <c r="Q466" s="12" t="s">
        <v>1810</v>
      </c>
    </row>
    <row r="467" customFormat="false" ht="22.35" hidden="false" customHeight="false" outlineLevel="0" collapsed="false">
      <c r="A467" s="11" t="s">
        <v>1811</v>
      </c>
      <c r="B467" s="11" t="s">
        <v>15</v>
      </c>
      <c r="C467" s="11" t="s">
        <v>1805</v>
      </c>
      <c r="D467" s="12" t="s">
        <v>1812</v>
      </c>
      <c r="E467" s="12" t="s">
        <v>1813</v>
      </c>
      <c r="F467" s="12" t="s">
        <v>1812</v>
      </c>
      <c r="G467" s="11" t="s">
        <v>1808</v>
      </c>
      <c r="H467" s="11" t="s">
        <v>10</v>
      </c>
      <c r="I467" s="13"/>
      <c r="J467" s="11" t="s">
        <v>49</v>
      </c>
      <c r="K467" s="12"/>
      <c r="L467" s="12"/>
      <c r="M467" s="11" t="s">
        <v>1809</v>
      </c>
      <c r="N467" s="12" t="s">
        <v>51</v>
      </c>
      <c r="O467" s="11" t="s">
        <v>28</v>
      </c>
      <c r="P467" s="11" t="s">
        <v>52</v>
      </c>
      <c r="Q467" s="12" t="s">
        <v>1810</v>
      </c>
    </row>
    <row r="468" customFormat="false" ht="22.35" hidden="false" customHeight="false" outlineLevel="0" collapsed="false">
      <c r="A468" s="11" t="s">
        <v>1814</v>
      </c>
      <c r="B468" s="11" t="s">
        <v>15</v>
      </c>
      <c r="C468" s="11" t="s">
        <v>1805</v>
      </c>
      <c r="D468" s="12" t="s">
        <v>1815</v>
      </c>
      <c r="E468" s="12" t="s">
        <v>1816</v>
      </c>
      <c r="F468" s="12" t="s">
        <v>1815</v>
      </c>
      <c r="G468" s="11" t="s">
        <v>1808</v>
      </c>
      <c r="H468" s="11" t="s">
        <v>10</v>
      </c>
      <c r="I468" s="13"/>
      <c r="J468" s="11" t="s">
        <v>49</v>
      </c>
      <c r="K468" s="12"/>
      <c r="L468" s="12"/>
      <c r="M468" s="11" t="s">
        <v>1809</v>
      </c>
      <c r="N468" s="12" t="s">
        <v>51</v>
      </c>
      <c r="O468" s="11" t="s">
        <v>28</v>
      </c>
      <c r="P468" s="11" t="s">
        <v>52</v>
      </c>
      <c r="Q468" s="12" t="s">
        <v>1810</v>
      </c>
    </row>
    <row r="469" customFormat="false" ht="22.35" hidden="false" customHeight="false" outlineLevel="0" collapsed="false">
      <c r="A469" s="11" t="s">
        <v>1817</v>
      </c>
      <c r="B469" s="11" t="s">
        <v>15</v>
      </c>
      <c r="C469" s="11" t="s">
        <v>1805</v>
      </c>
      <c r="D469" s="12" t="s">
        <v>1818</v>
      </c>
      <c r="E469" s="12" t="s">
        <v>1819</v>
      </c>
      <c r="F469" s="12" t="s">
        <v>1818</v>
      </c>
      <c r="G469" s="11" t="s">
        <v>1808</v>
      </c>
      <c r="H469" s="11" t="s">
        <v>10</v>
      </c>
      <c r="I469" s="13"/>
      <c r="J469" s="11" t="s">
        <v>49</v>
      </c>
      <c r="K469" s="12"/>
      <c r="L469" s="12"/>
      <c r="M469" s="11" t="s">
        <v>1809</v>
      </c>
      <c r="N469" s="12" t="s">
        <v>51</v>
      </c>
      <c r="O469" s="11" t="s">
        <v>28</v>
      </c>
      <c r="P469" s="11" t="s">
        <v>52</v>
      </c>
      <c r="Q469" s="12" t="s">
        <v>1810</v>
      </c>
    </row>
    <row r="470" customFormat="false" ht="22.35" hidden="false" customHeight="false" outlineLevel="0" collapsed="false">
      <c r="A470" s="11" t="s">
        <v>1820</v>
      </c>
      <c r="B470" s="11" t="s">
        <v>15</v>
      </c>
      <c r="C470" s="11" t="s">
        <v>1805</v>
      </c>
      <c r="D470" s="12" t="s">
        <v>1821</v>
      </c>
      <c r="E470" s="12" t="s">
        <v>1822</v>
      </c>
      <c r="F470" s="12" t="s">
        <v>1821</v>
      </c>
      <c r="G470" s="11" t="s">
        <v>1808</v>
      </c>
      <c r="H470" s="11" t="s">
        <v>10</v>
      </c>
      <c r="I470" s="13"/>
      <c r="J470" s="11" t="s">
        <v>49</v>
      </c>
      <c r="K470" s="12"/>
      <c r="L470" s="12"/>
      <c r="M470" s="11" t="s">
        <v>1809</v>
      </c>
      <c r="N470" s="12" t="s">
        <v>51</v>
      </c>
      <c r="O470" s="11" t="s">
        <v>28</v>
      </c>
      <c r="P470" s="11" t="s">
        <v>52</v>
      </c>
      <c r="Q470" s="12" t="s">
        <v>1810</v>
      </c>
    </row>
    <row r="471" customFormat="false" ht="22.35" hidden="false" customHeight="false" outlineLevel="0" collapsed="false">
      <c r="A471" s="11" t="s">
        <v>1823</v>
      </c>
      <c r="B471" s="11" t="s">
        <v>15</v>
      </c>
      <c r="C471" s="11" t="s">
        <v>1805</v>
      </c>
      <c r="D471" s="12" t="s">
        <v>1824</v>
      </c>
      <c r="E471" s="12" t="s">
        <v>1825</v>
      </c>
      <c r="F471" s="12" t="s">
        <v>1824</v>
      </c>
      <c r="G471" s="11" t="s">
        <v>1808</v>
      </c>
      <c r="H471" s="11" t="s">
        <v>10</v>
      </c>
      <c r="I471" s="13"/>
      <c r="J471" s="11" t="s">
        <v>49</v>
      </c>
      <c r="K471" s="12"/>
      <c r="L471" s="12"/>
      <c r="M471" s="11" t="s">
        <v>1809</v>
      </c>
      <c r="N471" s="12" t="s">
        <v>51</v>
      </c>
      <c r="O471" s="11" t="s">
        <v>28</v>
      </c>
      <c r="P471" s="11" t="s">
        <v>52</v>
      </c>
      <c r="Q471" s="12" t="s">
        <v>1810</v>
      </c>
    </row>
    <row r="472" customFormat="false" ht="22.35" hidden="false" customHeight="false" outlineLevel="0" collapsed="false">
      <c r="A472" s="11" t="s">
        <v>1826</v>
      </c>
      <c r="B472" s="11" t="s">
        <v>15</v>
      </c>
      <c r="C472" s="11" t="s">
        <v>1805</v>
      </c>
      <c r="D472" s="12" t="s">
        <v>1827</v>
      </c>
      <c r="E472" s="12" t="s">
        <v>1828</v>
      </c>
      <c r="F472" s="12" t="s">
        <v>1827</v>
      </c>
      <c r="G472" s="11" t="s">
        <v>1808</v>
      </c>
      <c r="H472" s="11" t="s">
        <v>10</v>
      </c>
      <c r="I472" s="13"/>
      <c r="J472" s="11" t="s">
        <v>49</v>
      </c>
      <c r="K472" s="12"/>
      <c r="L472" s="12"/>
      <c r="M472" s="11" t="s">
        <v>1809</v>
      </c>
      <c r="N472" s="12" t="s">
        <v>51</v>
      </c>
      <c r="O472" s="11" t="s">
        <v>28</v>
      </c>
      <c r="P472" s="11" t="s">
        <v>52</v>
      </c>
      <c r="Q472" s="12" t="s">
        <v>1810</v>
      </c>
    </row>
    <row r="473" customFormat="false" ht="22.35" hidden="false" customHeight="false" outlineLevel="0" collapsed="false">
      <c r="A473" s="11" t="s">
        <v>1829</v>
      </c>
      <c r="B473" s="11" t="s">
        <v>15</v>
      </c>
      <c r="C473" s="11" t="s">
        <v>1805</v>
      </c>
      <c r="D473" s="12" t="s">
        <v>1830</v>
      </c>
      <c r="E473" s="12" t="s">
        <v>1831</v>
      </c>
      <c r="F473" s="12" t="s">
        <v>1830</v>
      </c>
      <c r="G473" s="11" t="s">
        <v>1808</v>
      </c>
      <c r="H473" s="11" t="s">
        <v>10</v>
      </c>
      <c r="I473" s="13"/>
      <c r="J473" s="11" t="s">
        <v>49</v>
      </c>
      <c r="K473" s="12"/>
      <c r="L473" s="12"/>
      <c r="M473" s="11" t="s">
        <v>1809</v>
      </c>
      <c r="N473" s="12" t="s">
        <v>51</v>
      </c>
      <c r="O473" s="11" t="s">
        <v>28</v>
      </c>
      <c r="P473" s="11" t="s">
        <v>52</v>
      </c>
      <c r="Q473" s="12" t="s">
        <v>1810</v>
      </c>
    </row>
    <row r="474" customFormat="false" ht="22.35" hidden="false" customHeight="false" outlineLevel="0" collapsed="false">
      <c r="A474" s="11" t="s">
        <v>1832</v>
      </c>
      <c r="B474" s="11" t="s">
        <v>15</v>
      </c>
      <c r="C474" s="11" t="s">
        <v>1805</v>
      </c>
      <c r="D474" s="12" t="s">
        <v>1833</v>
      </c>
      <c r="E474" s="12" t="s">
        <v>1834</v>
      </c>
      <c r="F474" s="12" t="s">
        <v>1833</v>
      </c>
      <c r="G474" s="11" t="s">
        <v>1808</v>
      </c>
      <c r="H474" s="11" t="s">
        <v>10</v>
      </c>
      <c r="I474" s="13"/>
      <c r="J474" s="11" t="s">
        <v>49</v>
      </c>
      <c r="K474" s="12"/>
      <c r="L474" s="12"/>
      <c r="M474" s="11" t="s">
        <v>1809</v>
      </c>
      <c r="N474" s="12" t="s">
        <v>51</v>
      </c>
      <c r="O474" s="11" t="s">
        <v>28</v>
      </c>
      <c r="P474" s="11" t="s">
        <v>52</v>
      </c>
      <c r="Q474" s="12" t="s">
        <v>1810</v>
      </c>
    </row>
    <row r="475" customFormat="false" ht="22.35" hidden="false" customHeight="false" outlineLevel="0" collapsed="false">
      <c r="A475" s="11" t="s">
        <v>1835</v>
      </c>
      <c r="B475" s="11" t="s">
        <v>15</v>
      </c>
      <c r="C475" s="11" t="s">
        <v>1805</v>
      </c>
      <c r="D475" s="12" t="s">
        <v>1836</v>
      </c>
      <c r="E475" s="12" t="s">
        <v>1837</v>
      </c>
      <c r="F475" s="12" t="s">
        <v>1836</v>
      </c>
      <c r="G475" s="11" t="s">
        <v>1808</v>
      </c>
      <c r="H475" s="11" t="s">
        <v>10</v>
      </c>
      <c r="I475" s="13"/>
      <c r="J475" s="11" t="s">
        <v>49</v>
      </c>
      <c r="K475" s="12"/>
      <c r="L475" s="12"/>
      <c r="M475" s="11" t="s">
        <v>1809</v>
      </c>
      <c r="N475" s="12" t="s">
        <v>51</v>
      </c>
      <c r="O475" s="11" t="s">
        <v>28</v>
      </c>
      <c r="P475" s="11" t="s">
        <v>52</v>
      </c>
      <c r="Q475" s="12" t="s">
        <v>1810</v>
      </c>
    </row>
    <row r="476" customFormat="false" ht="22.35" hidden="false" customHeight="false" outlineLevel="0" collapsed="false">
      <c r="A476" s="11" t="s">
        <v>1838</v>
      </c>
      <c r="B476" s="11" t="s">
        <v>15</v>
      </c>
      <c r="C476" s="11" t="s">
        <v>1805</v>
      </c>
      <c r="D476" s="12" t="s">
        <v>1839</v>
      </c>
      <c r="E476" s="12" t="s">
        <v>1840</v>
      </c>
      <c r="F476" s="12" t="s">
        <v>1839</v>
      </c>
      <c r="G476" s="11" t="s">
        <v>1808</v>
      </c>
      <c r="H476" s="11" t="s">
        <v>10</v>
      </c>
      <c r="I476" s="13"/>
      <c r="J476" s="11" t="s">
        <v>49</v>
      </c>
      <c r="K476" s="12"/>
      <c r="L476" s="12"/>
      <c r="M476" s="11" t="s">
        <v>1809</v>
      </c>
      <c r="N476" s="12" t="s">
        <v>51</v>
      </c>
      <c r="O476" s="11" t="s">
        <v>28</v>
      </c>
      <c r="P476" s="11" t="s">
        <v>52</v>
      </c>
      <c r="Q476" s="12" t="s">
        <v>1810</v>
      </c>
    </row>
    <row r="477" customFormat="false" ht="22.35" hidden="false" customHeight="false" outlineLevel="0" collapsed="false">
      <c r="A477" s="11" t="s">
        <v>1841</v>
      </c>
      <c r="B477" s="11" t="s">
        <v>15</v>
      </c>
      <c r="C477" s="11" t="s">
        <v>1805</v>
      </c>
      <c r="D477" s="12" t="s">
        <v>1842</v>
      </c>
      <c r="E477" s="12" t="s">
        <v>1843</v>
      </c>
      <c r="F477" s="12" t="s">
        <v>1842</v>
      </c>
      <c r="G477" s="11" t="s">
        <v>1808</v>
      </c>
      <c r="H477" s="11" t="s">
        <v>10</v>
      </c>
      <c r="I477" s="13"/>
      <c r="J477" s="11" t="s">
        <v>49</v>
      </c>
      <c r="K477" s="12"/>
      <c r="L477" s="12"/>
      <c r="M477" s="11" t="s">
        <v>1809</v>
      </c>
      <c r="N477" s="12" t="s">
        <v>51</v>
      </c>
      <c r="O477" s="11" t="s">
        <v>28</v>
      </c>
      <c r="P477" s="11" t="s">
        <v>52</v>
      </c>
      <c r="Q477" s="12" t="s">
        <v>1810</v>
      </c>
    </row>
    <row r="478" customFormat="false" ht="22.35" hidden="false" customHeight="false" outlineLevel="0" collapsed="false">
      <c r="A478" s="11" t="s">
        <v>1844</v>
      </c>
      <c r="B478" s="11" t="s">
        <v>15</v>
      </c>
      <c r="C478" s="11" t="s">
        <v>1805</v>
      </c>
      <c r="D478" s="12" t="s">
        <v>1845</v>
      </c>
      <c r="E478" s="12" t="s">
        <v>1846</v>
      </c>
      <c r="F478" s="12" t="s">
        <v>1845</v>
      </c>
      <c r="G478" s="11" t="s">
        <v>1808</v>
      </c>
      <c r="H478" s="11" t="s">
        <v>10</v>
      </c>
      <c r="I478" s="13"/>
      <c r="J478" s="11" t="s">
        <v>49</v>
      </c>
      <c r="K478" s="12"/>
      <c r="L478" s="12"/>
      <c r="M478" s="11" t="s">
        <v>1809</v>
      </c>
      <c r="N478" s="12" t="s">
        <v>51</v>
      </c>
      <c r="O478" s="11" t="s">
        <v>28</v>
      </c>
      <c r="P478" s="11" t="s">
        <v>52</v>
      </c>
      <c r="Q478" s="12" t="s">
        <v>1810</v>
      </c>
    </row>
    <row r="479" customFormat="false" ht="22.35" hidden="false" customHeight="false" outlineLevel="0" collapsed="false">
      <c r="A479" s="11" t="s">
        <v>1847</v>
      </c>
      <c r="B479" s="11" t="s">
        <v>15</v>
      </c>
      <c r="C479" s="11" t="s">
        <v>1805</v>
      </c>
      <c r="D479" s="12" t="s">
        <v>1848</v>
      </c>
      <c r="E479" s="12" t="s">
        <v>1849</v>
      </c>
      <c r="F479" s="12" t="s">
        <v>1848</v>
      </c>
      <c r="G479" s="11" t="s">
        <v>1808</v>
      </c>
      <c r="H479" s="11" t="s">
        <v>10</v>
      </c>
      <c r="I479" s="13"/>
      <c r="J479" s="11" t="s">
        <v>49</v>
      </c>
      <c r="K479" s="12"/>
      <c r="L479" s="12"/>
      <c r="M479" s="11" t="s">
        <v>1809</v>
      </c>
      <c r="N479" s="12" t="s">
        <v>51</v>
      </c>
      <c r="O479" s="11" t="s">
        <v>28</v>
      </c>
      <c r="P479" s="11" t="s">
        <v>52</v>
      </c>
      <c r="Q479" s="12" t="s">
        <v>1810</v>
      </c>
    </row>
    <row r="480" customFormat="false" ht="22.35" hidden="false" customHeight="false" outlineLevel="0" collapsed="false">
      <c r="A480" s="11" t="s">
        <v>1850</v>
      </c>
      <c r="B480" s="11" t="s">
        <v>15</v>
      </c>
      <c r="C480" s="11" t="s">
        <v>1805</v>
      </c>
      <c r="D480" s="12" t="s">
        <v>1851</v>
      </c>
      <c r="E480" s="12" t="s">
        <v>1852</v>
      </c>
      <c r="F480" s="12" t="s">
        <v>1851</v>
      </c>
      <c r="G480" s="11" t="s">
        <v>1808</v>
      </c>
      <c r="H480" s="11" t="s">
        <v>10</v>
      </c>
      <c r="I480" s="13"/>
      <c r="J480" s="11" t="s">
        <v>49</v>
      </c>
      <c r="K480" s="12"/>
      <c r="L480" s="12"/>
      <c r="M480" s="11" t="s">
        <v>1809</v>
      </c>
      <c r="N480" s="12" t="s">
        <v>51</v>
      </c>
      <c r="O480" s="11" t="s">
        <v>28</v>
      </c>
      <c r="P480" s="11" t="s">
        <v>52</v>
      </c>
      <c r="Q480" s="12" t="s">
        <v>1810</v>
      </c>
    </row>
    <row r="481" customFormat="false" ht="22.35" hidden="false" customHeight="false" outlineLevel="0" collapsed="false">
      <c r="A481" s="11" t="s">
        <v>1853</v>
      </c>
      <c r="B481" s="11" t="s">
        <v>15</v>
      </c>
      <c r="C481" s="11" t="s">
        <v>1805</v>
      </c>
      <c r="D481" s="12" t="s">
        <v>1854</v>
      </c>
      <c r="E481" s="12" t="s">
        <v>1855</v>
      </c>
      <c r="F481" s="12" t="s">
        <v>1854</v>
      </c>
      <c r="G481" s="11" t="s">
        <v>1808</v>
      </c>
      <c r="H481" s="11" t="s">
        <v>10</v>
      </c>
      <c r="I481" s="13"/>
      <c r="J481" s="11" t="s">
        <v>49</v>
      </c>
      <c r="K481" s="12"/>
      <c r="L481" s="12"/>
      <c r="M481" s="11" t="s">
        <v>1809</v>
      </c>
      <c r="N481" s="12" t="s">
        <v>51</v>
      </c>
      <c r="O481" s="11" t="s">
        <v>28</v>
      </c>
      <c r="P481" s="11" t="s">
        <v>52</v>
      </c>
      <c r="Q481" s="12" t="s">
        <v>1810</v>
      </c>
    </row>
    <row r="482" customFormat="false" ht="22.35" hidden="false" customHeight="false" outlineLevel="0" collapsed="false">
      <c r="A482" s="11" t="s">
        <v>1856</v>
      </c>
      <c r="B482" s="11" t="s">
        <v>15</v>
      </c>
      <c r="C482" s="11" t="s">
        <v>1805</v>
      </c>
      <c r="D482" s="12" t="s">
        <v>1857</v>
      </c>
      <c r="E482" s="12" t="s">
        <v>1858</v>
      </c>
      <c r="F482" s="12" t="s">
        <v>1857</v>
      </c>
      <c r="G482" s="11" t="s">
        <v>1808</v>
      </c>
      <c r="H482" s="11" t="s">
        <v>10</v>
      </c>
      <c r="I482" s="13"/>
      <c r="J482" s="11" t="s">
        <v>49</v>
      </c>
      <c r="K482" s="12"/>
      <c r="L482" s="12"/>
      <c r="M482" s="11" t="s">
        <v>1809</v>
      </c>
      <c r="N482" s="12" t="s">
        <v>51</v>
      </c>
      <c r="O482" s="11" t="s">
        <v>28</v>
      </c>
      <c r="P482" s="11" t="s">
        <v>52</v>
      </c>
      <c r="Q482" s="12" t="s">
        <v>1810</v>
      </c>
    </row>
    <row r="483" customFormat="false" ht="22.35" hidden="false" customHeight="false" outlineLevel="0" collapsed="false">
      <c r="A483" s="11" t="s">
        <v>1859</v>
      </c>
      <c r="B483" s="11" t="s">
        <v>15</v>
      </c>
      <c r="C483" s="11" t="s">
        <v>1805</v>
      </c>
      <c r="D483" s="12" t="s">
        <v>1860</v>
      </c>
      <c r="E483" s="12" t="s">
        <v>1861</v>
      </c>
      <c r="F483" s="12" t="s">
        <v>1860</v>
      </c>
      <c r="G483" s="11" t="s">
        <v>1808</v>
      </c>
      <c r="H483" s="11" t="s">
        <v>10</v>
      </c>
      <c r="I483" s="13"/>
      <c r="J483" s="11" t="s">
        <v>49</v>
      </c>
      <c r="K483" s="12"/>
      <c r="L483" s="12"/>
      <c r="M483" s="11" t="s">
        <v>1809</v>
      </c>
      <c r="N483" s="12" t="s">
        <v>51</v>
      </c>
      <c r="O483" s="11" t="s">
        <v>28</v>
      </c>
      <c r="P483" s="11" t="s">
        <v>52</v>
      </c>
      <c r="Q483" s="12" t="s">
        <v>1810</v>
      </c>
    </row>
    <row r="484" customFormat="false" ht="22.35" hidden="false" customHeight="false" outlineLevel="0" collapsed="false">
      <c r="A484" s="11" t="s">
        <v>1862</v>
      </c>
      <c r="B484" s="11" t="s">
        <v>15</v>
      </c>
      <c r="C484" s="11" t="s">
        <v>1805</v>
      </c>
      <c r="D484" s="12" t="s">
        <v>1863</v>
      </c>
      <c r="E484" s="12" t="s">
        <v>1864</v>
      </c>
      <c r="F484" s="12" t="s">
        <v>1863</v>
      </c>
      <c r="G484" s="11" t="s">
        <v>1808</v>
      </c>
      <c r="H484" s="11" t="s">
        <v>10</v>
      </c>
      <c r="I484" s="13"/>
      <c r="J484" s="11" t="s">
        <v>49</v>
      </c>
      <c r="K484" s="12"/>
      <c r="L484" s="12"/>
      <c r="M484" s="11" t="s">
        <v>1809</v>
      </c>
      <c r="N484" s="12" t="s">
        <v>51</v>
      </c>
      <c r="O484" s="11" t="s">
        <v>28</v>
      </c>
      <c r="P484" s="11" t="s">
        <v>52</v>
      </c>
      <c r="Q484" s="12" t="s">
        <v>1810</v>
      </c>
    </row>
    <row r="485" customFormat="false" ht="22.35" hidden="false" customHeight="false" outlineLevel="0" collapsed="false">
      <c r="A485" s="11" t="s">
        <v>1865</v>
      </c>
      <c r="B485" s="11" t="s">
        <v>15</v>
      </c>
      <c r="C485" s="11" t="s">
        <v>1805</v>
      </c>
      <c r="D485" s="12" t="s">
        <v>1866</v>
      </c>
      <c r="E485" s="12" t="s">
        <v>1867</v>
      </c>
      <c r="F485" s="12" t="s">
        <v>1866</v>
      </c>
      <c r="G485" s="11" t="s">
        <v>1808</v>
      </c>
      <c r="H485" s="11" t="s">
        <v>10</v>
      </c>
      <c r="I485" s="13"/>
      <c r="J485" s="11" t="s">
        <v>49</v>
      </c>
      <c r="K485" s="12"/>
      <c r="L485" s="12"/>
      <c r="M485" s="11" t="s">
        <v>1809</v>
      </c>
      <c r="N485" s="12" t="s">
        <v>51</v>
      </c>
      <c r="O485" s="11" t="s">
        <v>28</v>
      </c>
      <c r="P485" s="11" t="s">
        <v>52</v>
      </c>
      <c r="Q485" s="12" t="s">
        <v>1810</v>
      </c>
    </row>
    <row r="486" customFormat="false" ht="22.35" hidden="false" customHeight="false" outlineLevel="0" collapsed="false">
      <c r="A486" s="11" t="s">
        <v>1868</v>
      </c>
      <c r="B486" s="11" t="s">
        <v>15</v>
      </c>
      <c r="C486" s="11" t="s">
        <v>1805</v>
      </c>
      <c r="D486" s="12" t="s">
        <v>1869</v>
      </c>
      <c r="E486" s="12" t="s">
        <v>1870</v>
      </c>
      <c r="F486" s="12" t="s">
        <v>1869</v>
      </c>
      <c r="G486" s="11" t="s">
        <v>1808</v>
      </c>
      <c r="H486" s="11" t="s">
        <v>10</v>
      </c>
      <c r="I486" s="13"/>
      <c r="J486" s="11" t="s">
        <v>49</v>
      </c>
      <c r="K486" s="12"/>
      <c r="L486" s="12"/>
      <c r="M486" s="11" t="s">
        <v>1809</v>
      </c>
      <c r="N486" s="12" t="s">
        <v>51</v>
      </c>
      <c r="O486" s="11" t="s">
        <v>28</v>
      </c>
      <c r="P486" s="11" t="s">
        <v>52</v>
      </c>
      <c r="Q486" s="12" t="s">
        <v>1810</v>
      </c>
    </row>
    <row r="487" customFormat="false" ht="22.35" hidden="false" customHeight="false" outlineLevel="0" collapsed="false">
      <c r="A487" s="11" t="s">
        <v>1871</v>
      </c>
      <c r="B487" s="11" t="s">
        <v>15</v>
      </c>
      <c r="C487" s="11" t="s">
        <v>1805</v>
      </c>
      <c r="D487" s="12" t="s">
        <v>1872</v>
      </c>
      <c r="E487" s="12" t="s">
        <v>1873</v>
      </c>
      <c r="F487" s="12" t="s">
        <v>1872</v>
      </c>
      <c r="G487" s="11" t="s">
        <v>1808</v>
      </c>
      <c r="H487" s="11" t="s">
        <v>10</v>
      </c>
      <c r="I487" s="13"/>
      <c r="J487" s="11" t="s">
        <v>49</v>
      </c>
      <c r="K487" s="12"/>
      <c r="L487" s="12"/>
      <c r="M487" s="11" t="s">
        <v>1809</v>
      </c>
      <c r="N487" s="12" t="s">
        <v>51</v>
      </c>
      <c r="O487" s="11" t="s">
        <v>28</v>
      </c>
      <c r="P487" s="11" t="s">
        <v>52</v>
      </c>
      <c r="Q487" s="12" t="s">
        <v>1810</v>
      </c>
    </row>
    <row r="488" customFormat="false" ht="22.35" hidden="false" customHeight="false" outlineLevel="0" collapsed="false">
      <c r="A488" s="11" t="s">
        <v>1874</v>
      </c>
      <c r="B488" s="11" t="s">
        <v>15</v>
      </c>
      <c r="C488" s="11" t="s">
        <v>1805</v>
      </c>
      <c r="D488" s="12" t="s">
        <v>1875</v>
      </c>
      <c r="E488" s="12" t="s">
        <v>1876</v>
      </c>
      <c r="F488" s="12" t="s">
        <v>1875</v>
      </c>
      <c r="G488" s="11" t="s">
        <v>1808</v>
      </c>
      <c r="H488" s="11" t="s">
        <v>10</v>
      </c>
      <c r="I488" s="13"/>
      <c r="J488" s="11" t="s">
        <v>49</v>
      </c>
      <c r="K488" s="12"/>
      <c r="L488" s="12"/>
      <c r="M488" s="11" t="s">
        <v>1809</v>
      </c>
      <c r="N488" s="12" t="s">
        <v>51</v>
      </c>
      <c r="O488" s="11" t="s">
        <v>28</v>
      </c>
      <c r="P488" s="11" t="s">
        <v>52</v>
      </c>
      <c r="Q488" s="12" t="s">
        <v>1810</v>
      </c>
    </row>
    <row r="489" customFormat="false" ht="22.35" hidden="false" customHeight="false" outlineLevel="0" collapsed="false">
      <c r="A489" s="11" t="s">
        <v>1877</v>
      </c>
      <c r="B489" s="11" t="s">
        <v>15</v>
      </c>
      <c r="C489" s="11" t="s">
        <v>1805</v>
      </c>
      <c r="D489" s="12" t="s">
        <v>1878</v>
      </c>
      <c r="E489" s="12" t="s">
        <v>1879</v>
      </c>
      <c r="F489" s="12" t="s">
        <v>1878</v>
      </c>
      <c r="G489" s="11" t="s">
        <v>1808</v>
      </c>
      <c r="H489" s="11" t="s">
        <v>10</v>
      </c>
      <c r="I489" s="13"/>
      <c r="J489" s="11" t="s">
        <v>49</v>
      </c>
      <c r="K489" s="12"/>
      <c r="L489" s="12"/>
      <c r="M489" s="11" t="s">
        <v>1809</v>
      </c>
      <c r="N489" s="12" t="s">
        <v>51</v>
      </c>
      <c r="O489" s="11" t="s">
        <v>28</v>
      </c>
      <c r="P489" s="11" t="s">
        <v>52</v>
      </c>
      <c r="Q489" s="12" t="s">
        <v>1810</v>
      </c>
    </row>
    <row r="490" customFormat="false" ht="22.35" hidden="false" customHeight="false" outlineLevel="0" collapsed="false">
      <c r="A490" s="11" t="s">
        <v>1880</v>
      </c>
      <c r="B490" s="11" t="s">
        <v>15</v>
      </c>
      <c r="C490" s="11" t="s">
        <v>1805</v>
      </c>
      <c r="D490" s="12" t="s">
        <v>1881</v>
      </c>
      <c r="E490" s="12" t="s">
        <v>1882</v>
      </c>
      <c r="F490" s="12" t="s">
        <v>1881</v>
      </c>
      <c r="G490" s="11" t="s">
        <v>1808</v>
      </c>
      <c r="H490" s="11" t="s">
        <v>10</v>
      </c>
      <c r="I490" s="13"/>
      <c r="J490" s="11" t="s">
        <v>49</v>
      </c>
      <c r="K490" s="12"/>
      <c r="L490" s="12"/>
      <c r="M490" s="11" t="s">
        <v>1809</v>
      </c>
      <c r="N490" s="12" t="s">
        <v>51</v>
      </c>
      <c r="O490" s="11" t="s">
        <v>28</v>
      </c>
      <c r="P490" s="11" t="s">
        <v>52</v>
      </c>
      <c r="Q490" s="12" t="s">
        <v>1810</v>
      </c>
    </row>
    <row r="491" customFormat="false" ht="22.35" hidden="false" customHeight="false" outlineLevel="0" collapsed="false">
      <c r="A491" s="11" t="s">
        <v>1883</v>
      </c>
      <c r="B491" s="11" t="s">
        <v>15</v>
      </c>
      <c r="C491" s="11" t="s">
        <v>1805</v>
      </c>
      <c r="D491" s="12" t="s">
        <v>1884</v>
      </c>
      <c r="E491" s="12" t="s">
        <v>1885</v>
      </c>
      <c r="F491" s="12" t="s">
        <v>1884</v>
      </c>
      <c r="G491" s="11" t="s">
        <v>1808</v>
      </c>
      <c r="H491" s="11" t="s">
        <v>10</v>
      </c>
      <c r="I491" s="13"/>
      <c r="J491" s="11" t="s">
        <v>49</v>
      </c>
      <c r="K491" s="12"/>
      <c r="L491" s="12"/>
      <c r="M491" s="11" t="s">
        <v>1809</v>
      </c>
      <c r="N491" s="12" t="s">
        <v>51</v>
      </c>
      <c r="O491" s="11" t="s">
        <v>28</v>
      </c>
      <c r="P491" s="11" t="s">
        <v>52</v>
      </c>
      <c r="Q491" s="12" t="s">
        <v>1810</v>
      </c>
    </row>
    <row r="492" customFormat="false" ht="22.35" hidden="false" customHeight="false" outlineLevel="0" collapsed="false">
      <c r="A492" s="11" t="s">
        <v>1886</v>
      </c>
      <c r="B492" s="11" t="s">
        <v>15</v>
      </c>
      <c r="C492" s="11" t="s">
        <v>1805</v>
      </c>
      <c r="D492" s="12" t="s">
        <v>1887</v>
      </c>
      <c r="E492" s="12" t="s">
        <v>1888</v>
      </c>
      <c r="F492" s="12" t="s">
        <v>1887</v>
      </c>
      <c r="G492" s="11" t="s">
        <v>1808</v>
      </c>
      <c r="H492" s="11" t="s">
        <v>10</v>
      </c>
      <c r="I492" s="13"/>
      <c r="J492" s="11" t="s">
        <v>49</v>
      </c>
      <c r="K492" s="12"/>
      <c r="L492" s="12"/>
      <c r="M492" s="11" t="s">
        <v>1809</v>
      </c>
      <c r="N492" s="12" t="s">
        <v>51</v>
      </c>
      <c r="O492" s="11" t="s">
        <v>28</v>
      </c>
      <c r="P492" s="11" t="s">
        <v>52</v>
      </c>
      <c r="Q492" s="12" t="s">
        <v>1810</v>
      </c>
    </row>
    <row r="493" customFormat="false" ht="22.35" hidden="false" customHeight="false" outlineLevel="0" collapsed="false">
      <c r="A493" s="11" t="s">
        <v>1889</v>
      </c>
      <c r="B493" s="11" t="s">
        <v>15</v>
      </c>
      <c r="C493" s="11" t="s">
        <v>1805</v>
      </c>
      <c r="D493" s="12" t="s">
        <v>1890</v>
      </c>
      <c r="E493" s="12" t="s">
        <v>1891</v>
      </c>
      <c r="F493" s="12" t="s">
        <v>1890</v>
      </c>
      <c r="G493" s="11" t="s">
        <v>1808</v>
      </c>
      <c r="H493" s="11" t="s">
        <v>10</v>
      </c>
      <c r="I493" s="13"/>
      <c r="J493" s="11" t="s">
        <v>49</v>
      </c>
      <c r="K493" s="12"/>
      <c r="L493" s="12"/>
      <c r="M493" s="11" t="s">
        <v>1809</v>
      </c>
      <c r="N493" s="12" t="s">
        <v>51</v>
      </c>
      <c r="O493" s="11" t="s">
        <v>28</v>
      </c>
      <c r="P493" s="11" t="s">
        <v>52</v>
      </c>
      <c r="Q493" s="12" t="s">
        <v>1810</v>
      </c>
    </row>
    <row r="494" customFormat="false" ht="22.35" hidden="false" customHeight="false" outlineLevel="0" collapsed="false">
      <c r="A494" s="11" t="s">
        <v>1892</v>
      </c>
      <c r="B494" s="11" t="s">
        <v>15</v>
      </c>
      <c r="C494" s="11" t="s">
        <v>1805</v>
      </c>
      <c r="D494" s="12" t="s">
        <v>1893</v>
      </c>
      <c r="E494" s="12" t="s">
        <v>1894</v>
      </c>
      <c r="F494" s="12" t="s">
        <v>1893</v>
      </c>
      <c r="G494" s="11" t="s">
        <v>1808</v>
      </c>
      <c r="H494" s="11" t="s">
        <v>10</v>
      </c>
      <c r="I494" s="13"/>
      <c r="J494" s="11" t="s">
        <v>49</v>
      </c>
      <c r="K494" s="12"/>
      <c r="L494" s="12"/>
      <c r="M494" s="11" t="s">
        <v>1809</v>
      </c>
      <c r="N494" s="12" t="s">
        <v>51</v>
      </c>
      <c r="O494" s="11" t="s">
        <v>28</v>
      </c>
      <c r="P494" s="11" t="s">
        <v>52</v>
      </c>
      <c r="Q494" s="12" t="s">
        <v>1810</v>
      </c>
    </row>
    <row r="495" customFormat="false" ht="22.35" hidden="false" customHeight="false" outlineLevel="0" collapsed="false">
      <c r="A495" s="11" t="s">
        <v>1895</v>
      </c>
      <c r="B495" s="11" t="s">
        <v>15</v>
      </c>
      <c r="C495" s="11" t="s">
        <v>1805</v>
      </c>
      <c r="D495" s="12" t="s">
        <v>1896</v>
      </c>
      <c r="E495" s="12" t="s">
        <v>1897</v>
      </c>
      <c r="F495" s="12" t="s">
        <v>1896</v>
      </c>
      <c r="G495" s="11" t="s">
        <v>1808</v>
      </c>
      <c r="H495" s="11" t="s">
        <v>10</v>
      </c>
      <c r="I495" s="13"/>
      <c r="J495" s="11" t="s">
        <v>49</v>
      </c>
      <c r="K495" s="12"/>
      <c r="L495" s="12"/>
      <c r="M495" s="11" t="s">
        <v>1809</v>
      </c>
      <c r="N495" s="12" t="s">
        <v>51</v>
      </c>
      <c r="O495" s="11" t="s">
        <v>28</v>
      </c>
      <c r="P495" s="11" t="s">
        <v>52</v>
      </c>
      <c r="Q495" s="12" t="s">
        <v>1810</v>
      </c>
    </row>
    <row r="496" customFormat="false" ht="22.35" hidden="false" customHeight="false" outlineLevel="0" collapsed="false">
      <c r="A496" s="11" t="s">
        <v>1898</v>
      </c>
      <c r="B496" s="11" t="s">
        <v>15</v>
      </c>
      <c r="C496" s="11" t="s">
        <v>1805</v>
      </c>
      <c r="D496" s="12" t="s">
        <v>1899</v>
      </c>
      <c r="E496" s="12" t="s">
        <v>1900</v>
      </c>
      <c r="F496" s="12" t="s">
        <v>1899</v>
      </c>
      <c r="G496" s="11" t="s">
        <v>1808</v>
      </c>
      <c r="H496" s="11" t="s">
        <v>10</v>
      </c>
      <c r="I496" s="13"/>
      <c r="J496" s="11" t="s">
        <v>49</v>
      </c>
      <c r="K496" s="12"/>
      <c r="L496" s="12"/>
      <c r="M496" s="11" t="s">
        <v>1809</v>
      </c>
      <c r="N496" s="12" t="s">
        <v>51</v>
      </c>
      <c r="O496" s="11" t="s">
        <v>28</v>
      </c>
      <c r="P496" s="11" t="s">
        <v>52</v>
      </c>
      <c r="Q496" s="12" t="s">
        <v>1810</v>
      </c>
    </row>
    <row r="497" customFormat="false" ht="15" hidden="false" customHeight="false" outlineLevel="0" collapsed="false">
      <c r="A497" s="11" t="s">
        <v>1901</v>
      </c>
      <c r="B497" s="11" t="s">
        <v>15</v>
      </c>
      <c r="C497" s="11" t="s">
        <v>1805</v>
      </c>
      <c r="D497" s="12" t="s">
        <v>1902</v>
      </c>
      <c r="E497" s="12" t="s">
        <v>1903</v>
      </c>
      <c r="F497" s="12" t="s">
        <v>1902</v>
      </c>
      <c r="G497" s="11" t="s">
        <v>1808</v>
      </c>
      <c r="H497" s="11" t="s">
        <v>10</v>
      </c>
      <c r="I497" s="13"/>
      <c r="J497" s="11" t="s">
        <v>49</v>
      </c>
      <c r="K497" s="12"/>
      <c r="L497" s="12"/>
      <c r="M497" s="11" t="s">
        <v>1809</v>
      </c>
      <c r="N497" s="12" t="s">
        <v>51</v>
      </c>
      <c r="O497" s="11" t="s">
        <v>28</v>
      </c>
      <c r="P497" s="11" t="s">
        <v>52</v>
      </c>
      <c r="Q497" s="12" t="s">
        <v>1810</v>
      </c>
    </row>
    <row r="498" customFormat="false" ht="53.7" hidden="false" customHeight="false" outlineLevel="0" collapsed="false">
      <c r="A498" s="11" t="s">
        <v>1904</v>
      </c>
      <c r="B498" s="11" t="s">
        <v>15</v>
      </c>
      <c r="C498" s="11" t="s">
        <v>1805</v>
      </c>
      <c r="D498" s="12" t="s">
        <v>1905</v>
      </c>
      <c r="E498" s="12" t="s">
        <v>1906</v>
      </c>
      <c r="F498" s="12" t="s">
        <v>1907</v>
      </c>
      <c r="G498" s="11" t="s">
        <v>1808</v>
      </c>
      <c r="H498" s="11" t="s">
        <v>10</v>
      </c>
      <c r="I498" s="13" t="n">
        <v>0.75</v>
      </c>
      <c r="J498" s="11" t="s">
        <v>49</v>
      </c>
      <c r="K498" s="12" t="s">
        <v>1908</v>
      </c>
      <c r="L498" s="12" t="s">
        <v>1909</v>
      </c>
      <c r="M498" s="11" t="s">
        <v>1809</v>
      </c>
      <c r="N498" s="12" t="s">
        <v>51</v>
      </c>
      <c r="O498" s="11" t="s">
        <v>28</v>
      </c>
      <c r="P498" s="11" t="s">
        <v>52</v>
      </c>
      <c r="Q498" s="12" t="s">
        <v>1910</v>
      </c>
    </row>
    <row r="499" customFormat="false" ht="22.35" hidden="false" customHeight="false" outlineLevel="0" collapsed="false">
      <c r="A499" s="11" t="s">
        <v>1911</v>
      </c>
      <c r="B499" s="11" t="s">
        <v>15</v>
      </c>
      <c r="C499" s="11" t="s">
        <v>1805</v>
      </c>
      <c r="D499" s="12" t="s">
        <v>1912</v>
      </c>
      <c r="E499" s="12" t="s">
        <v>1913</v>
      </c>
      <c r="F499" s="12" t="s">
        <v>1914</v>
      </c>
      <c r="G499" s="11" t="s">
        <v>1808</v>
      </c>
      <c r="H499" s="11" t="s">
        <v>10</v>
      </c>
      <c r="I499" s="13" t="n">
        <v>0.903225806451613</v>
      </c>
      <c r="J499" s="11" t="s">
        <v>49</v>
      </c>
      <c r="K499" s="12" t="s">
        <v>1915</v>
      </c>
      <c r="L499" s="12" t="s">
        <v>1916</v>
      </c>
      <c r="M499" s="11" t="s">
        <v>1809</v>
      </c>
      <c r="N499" s="12" t="s">
        <v>51</v>
      </c>
      <c r="O499" s="11" t="s">
        <v>28</v>
      </c>
      <c r="P499" s="11" t="s">
        <v>52</v>
      </c>
      <c r="Q499" s="12" t="s">
        <v>1910</v>
      </c>
    </row>
    <row r="500" customFormat="false" ht="53.7" hidden="false" customHeight="false" outlineLevel="0" collapsed="false">
      <c r="A500" s="11" t="s">
        <v>1917</v>
      </c>
      <c r="B500" s="11" t="s">
        <v>15</v>
      </c>
      <c r="C500" s="11" t="s">
        <v>1805</v>
      </c>
      <c r="D500" s="12" t="s">
        <v>1918</v>
      </c>
      <c r="E500" s="12" t="s">
        <v>1919</v>
      </c>
      <c r="F500" s="12" t="s">
        <v>1920</v>
      </c>
      <c r="G500" s="11" t="s">
        <v>1808</v>
      </c>
      <c r="H500" s="11" t="s">
        <v>10</v>
      </c>
      <c r="I500" s="13" t="n">
        <v>0.55</v>
      </c>
      <c r="J500" s="11" t="s">
        <v>49</v>
      </c>
      <c r="K500" s="12" t="s">
        <v>1921</v>
      </c>
      <c r="L500" s="12" t="s">
        <v>1922</v>
      </c>
      <c r="M500" s="11" t="s">
        <v>1809</v>
      </c>
      <c r="N500" s="12" t="s">
        <v>51</v>
      </c>
      <c r="O500" s="11" t="s">
        <v>28</v>
      </c>
      <c r="P500" s="11" t="s">
        <v>52</v>
      </c>
      <c r="Q500" s="12" t="s">
        <v>1910</v>
      </c>
    </row>
    <row r="501" customFormat="false" ht="32.8" hidden="false" customHeight="false" outlineLevel="0" collapsed="false">
      <c r="A501" s="11" t="s">
        <v>1923</v>
      </c>
      <c r="B501" s="11" t="s">
        <v>15</v>
      </c>
      <c r="C501" s="11" t="s">
        <v>1805</v>
      </c>
      <c r="D501" s="12" t="s">
        <v>1924</v>
      </c>
      <c r="E501" s="12" t="s">
        <v>1925</v>
      </c>
      <c r="F501" s="12" t="s">
        <v>1926</v>
      </c>
      <c r="G501" s="11" t="s">
        <v>1808</v>
      </c>
      <c r="H501" s="11" t="s">
        <v>10</v>
      </c>
      <c r="I501" s="13" t="n">
        <v>0.608695652173913</v>
      </c>
      <c r="J501" s="11" t="s">
        <v>49</v>
      </c>
      <c r="K501" s="12" t="s">
        <v>1927</v>
      </c>
      <c r="L501" s="12" t="s">
        <v>1928</v>
      </c>
      <c r="M501" s="11" t="s">
        <v>1809</v>
      </c>
      <c r="N501" s="12" t="s">
        <v>51</v>
      </c>
      <c r="O501" s="11" t="s">
        <v>28</v>
      </c>
      <c r="P501" s="11" t="s">
        <v>52</v>
      </c>
      <c r="Q501" s="12" t="s">
        <v>1910</v>
      </c>
    </row>
    <row r="502" customFormat="false" ht="32.8" hidden="false" customHeight="false" outlineLevel="0" collapsed="false">
      <c r="A502" s="11" t="s">
        <v>1929</v>
      </c>
      <c r="B502" s="11" t="s">
        <v>15</v>
      </c>
      <c r="C502" s="11" t="s">
        <v>1805</v>
      </c>
      <c r="D502" s="12" t="s">
        <v>1930</v>
      </c>
      <c r="E502" s="12" t="s">
        <v>1931</v>
      </c>
      <c r="F502" s="12" t="s">
        <v>1932</v>
      </c>
      <c r="G502" s="11" t="s">
        <v>1808</v>
      </c>
      <c r="H502" s="11" t="s">
        <v>10</v>
      </c>
      <c r="I502" s="13" t="n">
        <v>0.875</v>
      </c>
      <c r="J502" s="11" t="s">
        <v>49</v>
      </c>
      <c r="K502" s="12" t="s">
        <v>1933</v>
      </c>
      <c r="L502" s="12" t="s">
        <v>1934</v>
      </c>
      <c r="M502" s="11" t="s">
        <v>1809</v>
      </c>
      <c r="N502" s="12" t="s">
        <v>51</v>
      </c>
      <c r="O502" s="11" t="s">
        <v>28</v>
      </c>
      <c r="P502" s="11" t="s">
        <v>52</v>
      </c>
      <c r="Q502" s="12" t="s">
        <v>1910</v>
      </c>
    </row>
    <row r="503" customFormat="false" ht="43.25" hidden="false" customHeight="false" outlineLevel="0" collapsed="false">
      <c r="A503" s="11" t="s">
        <v>1935</v>
      </c>
      <c r="B503" s="11" t="s">
        <v>15</v>
      </c>
      <c r="C503" s="11" t="s">
        <v>1805</v>
      </c>
      <c r="D503" s="12" t="s">
        <v>1936</v>
      </c>
      <c r="E503" s="12" t="s">
        <v>1937</v>
      </c>
      <c r="F503" s="12" t="s">
        <v>1938</v>
      </c>
      <c r="G503" s="11" t="s">
        <v>1808</v>
      </c>
      <c r="H503" s="11" t="s">
        <v>10</v>
      </c>
      <c r="I503" s="13" t="n">
        <v>0.675</v>
      </c>
      <c r="J503" s="11" t="s">
        <v>49</v>
      </c>
      <c r="K503" s="12" t="s">
        <v>1939</v>
      </c>
      <c r="L503" s="12" t="s">
        <v>1940</v>
      </c>
      <c r="M503" s="11" t="s">
        <v>1809</v>
      </c>
      <c r="N503" s="12" t="s">
        <v>51</v>
      </c>
      <c r="O503" s="11" t="s">
        <v>28</v>
      </c>
      <c r="P503" s="11" t="s">
        <v>52</v>
      </c>
      <c r="Q503" s="12" t="s">
        <v>1910</v>
      </c>
    </row>
    <row r="504" customFormat="false" ht="22.35" hidden="false" customHeight="false" outlineLevel="0" collapsed="false">
      <c r="A504" s="11" t="s">
        <v>1941</v>
      </c>
      <c r="B504" s="11" t="s">
        <v>15</v>
      </c>
      <c r="C504" s="11" t="s">
        <v>1805</v>
      </c>
      <c r="D504" s="12" t="s">
        <v>1942</v>
      </c>
      <c r="E504" s="12" t="s">
        <v>1943</v>
      </c>
      <c r="F504" s="12" t="s">
        <v>1944</v>
      </c>
      <c r="G504" s="11" t="s">
        <v>1808</v>
      </c>
      <c r="H504" s="11" t="s">
        <v>10</v>
      </c>
      <c r="I504" s="13" t="n">
        <v>0.85</v>
      </c>
      <c r="J504" s="11" t="s">
        <v>49</v>
      </c>
      <c r="K504" s="12" t="s">
        <v>1945</v>
      </c>
      <c r="L504" s="12" t="s">
        <v>1946</v>
      </c>
      <c r="M504" s="11" t="s">
        <v>1809</v>
      </c>
      <c r="N504" s="12" t="s">
        <v>51</v>
      </c>
      <c r="O504" s="11" t="s">
        <v>28</v>
      </c>
      <c r="P504" s="11" t="s">
        <v>52</v>
      </c>
      <c r="Q504" s="12" t="s">
        <v>1910</v>
      </c>
    </row>
    <row r="505" customFormat="false" ht="22.35" hidden="false" customHeight="false" outlineLevel="0" collapsed="false">
      <c r="A505" s="11" t="s">
        <v>1947</v>
      </c>
      <c r="B505" s="11" t="s">
        <v>15</v>
      </c>
      <c r="C505" s="11" t="s">
        <v>1805</v>
      </c>
      <c r="D505" s="12" t="s">
        <v>1948</v>
      </c>
      <c r="E505" s="12" t="s">
        <v>1949</v>
      </c>
      <c r="F505" s="12" t="s">
        <v>1950</v>
      </c>
      <c r="G505" s="11" t="s">
        <v>1808</v>
      </c>
      <c r="H505" s="11" t="s">
        <v>10</v>
      </c>
      <c r="I505" s="13" t="n">
        <v>0.909090909090909</v>
      </c>
      <c r="J505" s="11" t="s">
        <v>49</v>
      </c>
      <c r="K505" s="12" t="s">
        <v>1951</v>
      </c>
      <c r="L505" s="12" t="s">
        <v>1952</v>
      </c>
      <c r="M505" s="11" t="s">
        <v>1809</v>
      </c>
      <c r="N505" s="12" t="s">
        <v>51</v>
      </c>
      <c r="O505" s="11" t="s">
        <v>28</v>
      </c>
      <c r="P505" s="11" t="s">
        <v>52</v>
      </c>
      <c r="Q505" s="12" t="s">
        <v>1910</v>
      </c>
    </row>
    <row r="506" customFormat="false" ht="32.8" hidden="false" customHeight="false" outlineLevel="0" collapsed="false">
      <c r="A506" s="11" t="s">
        <v>1953</v>
      </c>
      <c r="B506" s="11" t="s">
        <v>15</v>
      </c>
      <c r="C506" s="11" t="s">
        <v>1805</v>
      </c>
      <c r="D506" s="12" t="s">
        <v>1954</v>
      </c>
      <c r="E506" s="12" t="s">
        <v>1955</v>
      </c>
      <c r="F506" s="12" t="s">
        <v>1956</v>
      </c>
      <c r="G506" s="11" t="s">
        <v>1808</v>
      </c>
      <c r="H506" s="11" t="s">
        <v>10</v>
      </c>
      <c r="I506" s="13" t="n">
        <v>0.1</v>
      </c>
      <c r="J506" s="11" t="s">
        <v>49</v>
      </c>
      <c r="K506" s="12" t="s">
        <v>1957</v>
      </c>
      <c r="L506" s="12" t="s">
        <v>1958</v>
      </c>
      <c r="M506" s="11" t="s">
        <v>1809</v>
      </c>
      <c r="N506" s="12" t="s">
        <v>51</v>
      </c>
      <c r="O506" s="11" t="s">
        <v>28</v>
      </c>
      <c r="P506" s="11" t="s">
        <v>52</v>
      </c>
      <c r="Q506" s="12" t="s">
        <v>1910</v>
      </c>
    </row>
    <row r="507" customFormat="false" ht="32.8" hidden="false" customHeight="false" outlineLevel="0" collapsed="false">
      <c r="A507" s="11" t="s">
        <v>1959</v>
      </c>
      <c r="B507" s="11" t="s">
        <v>15</v>
      </c>
      <c r="C507" s="11" t="s">
        <v>1805</v>
      </c>
      <c r="D507" s="12" t="s">
        <v>1960</v>
      </c>
      <c r="E507" s="12" t="s">
        <v>1961</v>
      </c>
      <c r="F507" s="12" t="s">
        <v>1962</v>
      </c>
      <c r="G507" s="11" t="s">
        <v>1808</v>
      </c>
      <c r="H507" s="11" t="s">
        <v>10</v>
      </c>
      <c r="I507" s="13" t="n">
        <v>0.736842105263158</v>
      </c>
      <c r="J507" s="11" t="s">
        <v>49</v>
      </c>
      <c r="K507" s="12" t="s">
        <v>1963</v>
      </c>
      <c r="L507" s="12" t="s">
        <v>1964</v>
      </c>
      <c r="M507" s="11" t="s">
        <v>1809</v>
      </c>
      <c r="N507" s="12" t="s">
        <v>51</v>
      </c>
      <c r="O507" s="11" t="s">
        <v>28</v>
      </c>
      <c r="P507" s="11" t="s">
        <v>52</v>
      </c>
      <c r="Q507" s="12" t="s">
        <v>1910</v>
      </c>
    </row>
    <row r="508" customFormat="false" ht="32.8" hidden="false" customHeight="false" outlineLevel="0" collapsed="false">
      <c r="A508" s="11" t="s">
        <v>1965</v>
      </c>
      <c r="B508" s="11" t="s">
        <v>15</v>
      </c>
      <c r="C508" s="11" t="s">
        <v>1805</v>
      </c>
      <c r="D508" s="12" t="s">
        <v>1966</v>
      </c>
      <c r="E508" s="12" t="s">
        <v>1967</v>
      </c>
      <c r="F508" s="12" t="s">
        <v>1968</v>
      </c>
      <c r="G508" s="11" t="s">
        <v>1808</v>
      </c>
      <c r="H508" s="11" t="s">
        <v>10</v>
      </c>
      <c r="I508" s="13" t="n">
        <v>1</v>
      </c>
      <c r="J508" s="11" t="s">
        <v>49</v>
      </c>
      <c r="K508" s="12" t="s">
        <v>1969</v>
      </c>
      <c r="L508" s="12"/>
      <c r="M508" s="11" t="s">
        <v>1809</v>
      </c>
      <c r="N508" s="12" t="s">
        <v>51</v>
      </c>
      <c r="O508" s="11" t="s">
        <v>28</v>
      </c>
      <c r="P508" s="11" t="s">
        <v>52</v>
      </c>
      <c r="Q508" s="12" t="s">
        <v>1910</v>
      </c>
    </row>
    <row r="509" customFormat="false" ht="53.7" hidden="false" customHeight="false" outlineLevel="0" collapsed="false">
      <c r="A509" s="11" t="s">
        <v>1970</v>
      </c>
      <c r="B509" s="11" t="s">
        <v>15</v>
      </c>
      <c r="C509" s="11" t="s">
        <v>1805</v>
      </c>
      <c r="D509" s="12" t="s">
        <v>1971</v>
      </c>
      <c r="E509" s="12" t="s">
        <v>1972</v>
      </c>
      <c r="F509" s="12" t="s">
        <v>1973</v>
      </c>
      <c r="G509" s="11" t="s">
        <v>1808</v>
      </c>
      <c r="H509" s="11" t="s">
        <v>10</v>
      </c>
      <c r="I509" s="13" t="n">
        <v>0.35</v>
      </c>
      <c r="J509" s="11" t="s">
        <v>49</v>
      </c>
      <c r="K509" s="12" t="s">
        <v>1974</v>
      </c>
      <c r="L509" s="12" t="s">
        <v>1975</v>
      </c>
      <c r="M509" s="11" t="s">
        <v>1809</v>
      </c>
      <c r="N509" s="12" t="s">
        <v>51</v>
      </c>
      <c r="O509" s="11" t="s">
        <v>28</v>
      </c>
      <c r="P509" s="11" t="s">
        <v>52</v>
      </c>
      <c r="Q509" s="12" t="s">
        <v>1910</v>
      </c>
    </row>
    <row r="510" customFormat="false" ht="64.15" hidden="false" customHeight="false" outlineLevel="0" collapsed="false">
      <c r="A510" s="11" t="s">
        <v>1976</v>
      </c>
      <c r="B510" s="11" t="s">
        <v>15</v>
      </c>
      <c r="C510" s="11" t="s">
        <v>1805</v>
      </c>
      <c r="D510" s="12" t="s">
        <v>1854</v>
      </c>
      <c r="E510" s="12" t="s">
        <v>1977</v>
      </c>
      <c r="F510" s="12" t="s">
        <v>1978</v>
      </c>
      <c r="G510" s="11" t="s">
        <v>1808</v>
      </c>
      <c r="H510" s="11" t="s">
        <v>10</v>
      </c>
      <c r="I510" s="13" t="n">
        <v>0.35</v>
      </c>
      <c r="J510" s="11" t="s">
        <v>49</v>
      </c>
      <c r="K510" s="12" t="s">
        <v>1979</v>
      </c>
      <c r="L510" s="12" t="s">
        <v>1980</v>
      </c>
      <c r="M510" s="11" t="s">
        <v>1809</v>
      </c>
      <c r="N510" s="12" t="s">
        <v>51</v>
      </c>
      <c r="O510" s="11" t="s">
        <v>28</v>
      </c>
      <c r="P510" s="11" t="s">
        <v>52</v>
      </c>
      <c r="Q510" s="12" t="s">
        <v>1910</v>
      </c>
    </row>
    <row r="511" customFormat="false" ht="53.7" hidden="false" customHeight="false" outlineLevel="0" collapsed="false">
      <c r="A511" s="11" t="s">
        <v>1981</v>
      </c>
      <c r="B511" s="11" t="s">
        <v>15</v>
      </c>
      <c r="C511" s="11" t="s">
        <v>1805</v>
      </c>
      <c r="D511" s="12" t="s">
        <v>1982</v>
      </c>
      <c r="E511" s="12" t="s">
        <v>1983</v>
      </c>
      <c r="F511" s="12" t="s">
        <v>1984</v>
      </c>
      <c r="G511" s="11" t="s">
        <v>1808</v>
      </c>
      <c r="H511" s="11" t="s">
        <v>10</v>
      </c>
      <c r="I511" s="13" t="n">
        <v>0.393939393939394</v>
      </c>
      <c r="J511" s="11" t="s">
        <v>49</v>
      </c>
      <c r="K511" s="12" t="s">
        <v>1985</v>
      </c>
      <c r="L511" s="12" t="s">
        <v>1986</v>
      </c>
      <c r="M511" s="11" t="s">
        <v>1809</v>
      </c>
      <c r="N511" s="12" t="s">
        <v>51</v>
      </c>
      <c r="O511" s="11" t="s">
        <v>28</v>
      </c>
      <c r="P511" s="11" t="s">
        <v>52</v>
      </c>
      <c r="Q511" s="12" t="s">
        <v>1910</v>
      </c>
    </row>
    <row r="512" customFormat="false" ht="32.8" hidden="false" customHeight="false" outlineLevel="0" collapsed="false">
      <c r="A512" s="11" t="s">
        <v>1987</v>
      </c>
      <c r="B512" s="11" t="s">
        <v>15</v>
      </c>
      <c r="C512" s="11" t="s">
        <v>1805</v>
      </c>
      <c r="D512" s="12" t="s">
        <v>1988</v>
      </c>
      <c r="E512" s="12" t="s">
        <v>1989</v>
      </c>
      <c r="F512" s="12" t="s">
        <v>1990</v>
      </c>
      <c r="G512" s="11" t="s">
        <v>1808</v>
      </c>
      <c r="H512" s="11" t="s">
        <v>10</v>
      </c>
      <c r="I512" s="13" t="n">
        <v>0.5625</v>
      </c>
      <c r="J512" s="11" t="s">
        <v>49</v>
      </c>
      <c r="K512" s="12" t="s">
        <v>1991</v>
      </c>
      <c r="L512" s="12" t="s">
        <v>1992</v>
      </c>
      <c r="M512" s="11" t="s">
        <v>1809</v>
      </c>
      <c r="N512" s="12" t="s">
        <v>51</v>
      </c>
      <c r="O512" s="11" t="s">
        <v>28</v>
      </c>
      <c r="P512" s="11" t="s">
        <v>52</v>
      </c>
      <c r="Q512" s="12" t="s">
        <v>1910</v>
      </c>
    </row>
    <row r="513" customFormat="false" ht="32.8" hidden="false" customHeight="false" outlineLevel="0" collapsed="false">
      <c r="A513" s="11" t="s">
        <v>1993</v>
      </c>
      <c r="B513" s="11" t="s">
        <v>15</v>
      </c>
      <c r="C513" s="11" t="s">
        <v>1805</v>
      </c>
      <c r="D513" s="12" t="s">
        <v>1994</v>
      </c>
      <c r="E513" s="12" t="s">
        <v>1995</v>
      </c>
      <c r="F513" s="12" t="s">
        <v>1996</v>
      </c>
      <c r="G513" s="11" t="s">
        <v>1808</v>
      </c>
      <c r="H513" s="11" t="s">
        <v>10</v>
      </c>
      <c r="I513" s="13" t="n">
        <v>0.68</v>
      </c>
      <c r="J513" s="11" t="s">
        <v>49</v>
      </c>
      <c r="K513" s="12" t="s">
        <v>1997</v>
      </c>
      <c r="L513" s="12" t="s">
        <v>1998</v>
      </c>
      <c r="M513" s="11" t="s">
        <v>1809</v>
      </c>
      <c r="N513" s="12" t="s">
        <v>51</v>
      </c>
      <c r="O513" s="11" t="s">
        <v>28</v>
      </c>
      <c r="P513" s="11" t="s">
        <v>52</v>
      </c>
      <c r="Q513" s="12" t="s">
        <v>1910</v>
      </c>
    </row>
    <row r="514" customFormat="false" ht="43.25" hidden="false" customHeight="false" outlineLevel="0" collapsed="false">
      <c r="A514" s="11" t="s">
        <v>1999</v>
      </c>
      <c r="B514" s="11" t="s">
        <v>15</v>
      </c>
      <c r="C514" s="11" t="s">
        <v>1805</v>
      </c>
      <c r="D514" s="12" t="s">
        <v>2000</v>
      </c>
      <c r="E514" s="12" t="s">
        <v>2001</v>
      </c>
      <c r="F514" s="12" t="s">
        <v>2002</v>
      </c>
      <c r="G514" s="11" t="s">
        <v>1808</v>
      </c>
      <c r="H514" s="11" t="s">
        <v>10</v>
      </c>
      <c r="I514" s="13" t="n">
        <v>0.625</v>
      </c>
      <c r="J514" s="11" t="s">
        <v>49</v>
      </c>
      <c r="K514" s="12" t="s">
        <v>2003</v>
      </c>
      <c r="L514" s="12" t="s">
        <v>2004</v>
      </c>
      <c r="M514" s="11" t="s">
        <v>1809</v>
      </c>
      <c r="N514" s="12" t="s">
        <v>51</v>
      </c>
      <c r="O514" s="11" t="s">
        <v>28</v>
      </c>
      <c r="P514" s="11" t="s">
        <v>52</v>
      </c>
      <c r="Q514" s="12" t="s">
        <v>1910</v>
      </c>
    </row>
    <row r="515" customFormat="false" ht="53.7" hidden="false" customHeight="false" outlineLevel="0" collapsed="false">
      <c r="A515" s="11" t="s">
        <v>2005</v>
      </c>
      <c r="B515" s="11" t="s">
        <v>15</v>
      </c>
      <c r="C515" s="11" t="s">
        <v>1805</v>
      </c>
      <c r="D515" s="12" t="s">
        <v>2006</v>
      </c>
      <c r="E515" s="12" t="s">
        <v>2007</v>
      </c>
      <c r="F515" s="12" t="s">
        <v>2008</v>
      </c>
      <c r="G515" s="11" t="s">
        <v>1808</v>
      </c>
      <c r="H515" s="11" t="s">
        <v>10</v>
      </c>
      <c r="I515" s="13" t="n">
        <v>0.45</v>
      </c>
      <c r="J515" s="11" t="s">
        <v>49</v>
      </c>
      <c r="K515" s="12" t="s">
        <v>2009</v>
      </c>
      <c r="L515" s="12" t="s">
        <v>2010</v>
      </c>
      <c r="M515" s="11" t="s">
        <v>1809</v>
      </c>
      <c r="N515" s="12" t="s">
        <v>51</v>
      </c>
      <c r="O515" s="11" t="s">
        <v>28</v>
      </c>
      <c r="P515" s="11" t="s">
        <v>52</v>
      </c>
      <c r="Q515" s="12" t="s">
        <v>1910</v>
      </c>
    </row>
    <row r="516" customFormat="false" ht="22.35" hidden="false" customHeight="false" outlineLevel="0" collapsed="false">
      <c r="A516" s="11" t="s">
        <v>2011</v>
      </c>
      <c r="B516" s="11" t="s">
        <v>15</v>
      </c>
      <c r="C516" s="11" t="s">
        <v>1805</v>
      </c>
      <c r="D516" s="12" t="s">
        <v>2012</v>
      </c>
      <c r="E516" s="12" t="s">
        <v>2013</v>
      </c>
      <c r="F516" s="12" t="s">
        <v>2012</v>
      </c>
      <c r="G516" s="11" t="s">
        <v>1808</v>
      </c>
      <c r="H516" s="11" t="s">
        <v>10</v>
      </c>
      <c r="I516" s="13" t="n">
        <v>0.68421052631579</v>
      </c>
      <c r="J516" s="11" t="s">
        <v>49</v>
      </c>
      <c r="K516" s="12" t="s">
        <v>2014</v>
      </c>
      <c r="L516" s="12" t="s">
        <v>2015</v>
      </c>
      <c r="M516" s="11" t="s">
        <v>1809</v>
      </c>
      <c r="N516" s="12" t="s">
        <v>51</v>
      </c>
      <c r="O516" s="11" t="s">
        <v>28</v>
      </c>
      <c r="P516" s="11" t="s">
        <v>52</v>
      </c>
      <c r="Q516" s="12" t="s">
        <v>1910</v>
      </c>
    </row>
    <row r="517" customFormat="false" ht="74.6" hidden="false" customHeight="false" outlineLevel="0" collapsed="false">
      <c r="A517" s="11" t="s">
        <v>2016</v>
      </c>
      <c r="B517" s="11" t="s">
        <v>15</v>
      </c>
      <c r="C517" s="11" t="s">
        <v>1805</v>
      </c>
      <c r="D517" s="12" t="s">
        <v>2017</v>
      </c>
      <c r="E517" s="12" t="s">
        <v>2018</v>
      </c>
      <c r="F517" s="12" t="s">
        <v>2019</v>
      </c>
      <c r="G517" s="11" t="s">
        <v>1808</v>
      </c>
      <c r="H517" s="11" t="s">
        <v>10</v>
      </c>
      <c r="I517" s="13" t="n">
        <v>0.625</v>
      </c>
      <c r="J517" s="11" t="s">
        <v>49</v>
      </c>
      <c r="K517" s="12" t="s">
        <v>2020</v>
      </c>
      <c r="L517" s="12" t="s">
        <v>2021</v>
      </c>
      <c r="M517" s="11" t="s">
        <v>1809</v>
      </c>
      <c r="N517" s="12" t="s">
        <v>51</v>
      </c>
      <c r="O517" s="11" t="s">
        <v>28</v>
      </c>
      <c r="P517" s="11" t="s">
        <v>52</v>
      </c>
      <c r="Q517" s="12" t="s">
        <v>1910</v>
      </c>
    </row>
    <row r="518" customFormat="false" ht="53.7" hidden="false" customHeight="false" outlineLevel="0" collapsed="false">
      <c r="A518" s="11" t="s">
        <v>2022</v>
      </c>
      <c r="B518" s="11" t="s">
        <v>15</v>
      </c>
      <c r="C518" s="11" t="s">
        <v>1805</v>
      </c>
      <c r="D518" s="12" t="s">
        <v>2023</v>
      </c>
      <c r="E518" s="12" t="s">
        <v>2024</v>
      </c>
      <c r="F518" s="12" t="s">
        <v>2025</v>
      </c>
      <c r="G518" s="11" t="s">
        <v>1808</v>
      </c>
      <c r="H518" s="11" t="s">
        <v>10</v>
      </c>
      <c r="I518" s="13" t="n">
        <v>0.25</v>
      </c>
      <c r="J518" s="11" t="s">
        <v>49</v>
      </c>
      <c r="K518" s="12" t="s">
        <v>2026</v>
      </c>
      <c r="L518" s="12" t="s">
        <v>2027</v>
      </c>
      <c r="M518" s="11" t="s">
        <v>1809</v>
      </c>
      <c r="N518" s="12" t="s">
        <v>51</v>
      </c>
      <c r="O518" s="11" t="s">
        <v>28</v>
      </c>
      <c r="P518" s="11" t="s">
        <v>52</v>
      </c>
      <c r="Q518" s="12" t="s">
        <v>1910</v>
      </c>
    </row>
    <row r="519" customFormat="false" ht="53.7" hidden="false" customHeight="false" outlineLevel="0" collapsed="false">
      <c r="A519" s="11" t="s">
        <v>2028</v>
      </c>
      <c r="B519" s="11" t="s">
        <v>15</v>
      </c>
      <c r="C519" s="11" t="s">
        <v>1805</v>
      </c>
      <c r="D519" s="12" t="s">
        <v>1857</v>
      </c>
      <c r="E519" s="12" t="s">
        <v>2029</v>
      </c>
      <c r="F519" s="12" t="s">
        <v>2030</v>
      </c>
      <c r="G519" s="11" t="s">
        <v>1808</v>
      </c>
      <c r="H519" s="11" t="s">
        <v>10</v>
      </c>
      <c r="I519" s="13" t="n">
        <v>0.75</v>
      </c>
      <c r="J519" s="11" t="s">
        <v>49</v>
      </c>
      <c r="K519" s="12" t="s">
        <v>2031</v>
      </c>
      <c r="L519" s="12" t="s">
        <v>2032</v>
      </c>
      <c r="M519" s="11" t="s">
        <v>1809</v>
      </c>
      <c r="N519" s="12" t="s">
        <v>51</v>
      </c>
      <c r="O519" s="11" t="s">
        <v>28</v>
      </c>
      <c r="P519" s="11" t="s">
        <v>52</v>
      </c>
      <c r="Q519" s="12" t="s">
        <v>1910</v>
      </c>
    </row>
    <row r="520" customFormat="false" ht="32.8" hidden="false" customHeight="false" outlineLevel="0" collapsed="false">
      <c r="A520" s="11" t="s">
        <v>2033</v>
      </c>
      <c r="B520" s="11" t="s">
        <v>15</v>
      </c>
      <c r="C520" s="11" t="s">
        <v>1805</v>
      </c>
      <c r="D520" s="12" t="s">
        <v>2034</v>
      </c>
      <c r="E520" s="12" t="s">
        <v>2035</v>
      </c>
      <c r="F520" s="12" t="s">
        <v>2036</v>
      </c>
      <c r="G520" s="11" t="s">
        <v>1808</v>
      </c>
      <c r="H520" s="11" t="s">
        <v>10</v>
      </c>
      <c r="I520" s="13" t="n">
        <v>0.5</v>
      </c>
      <c r="J520" s="11" t="s">
        <v>49</v>
      </c>
      <c r="K520" s="12" t="s">
        <v>2037</v>
      </c>
      <c r="L520" s="12" t="s">
        <v>2038</v>
      </c>
      <c r="M520" s="11" t="s">
        <v>1809</v>
      </c>
      <c r="N520" s="12" t="s">
        <v>51</v>
      </c>
      <c r="O520" s="11" t="s">
        <v>28</v>
      </c>
      <c r="P520" s="11" t="s">
        <v>52</v>
      </c>
      <c r="Q520" s="12" t="s">
        <v>1910</v>
      </c>
    </row>
    <row r="521" customFormat="false" ht="43.25" hidden="false" customHeight="false" outlineLevel="0" collapsed="false">
      <c r="A521" s="11" t="s">
        <v>2039</v>
      </c>
      <c r="B521" s="11" t="s">
        <v>15</v>
      </c>
      <c r="C521" s="11" t="s">
        <v>1805</v>
      </c>
      <c r="D521" s="12" t="s">
        <v>2040</v>
      </c>
      <c r="E521" s="12" t="s">
        <v>2041</v>
      </c>
      <c r="F521" s="12" t="s">
        <v>2042</v>
      </c>
      <c r="G521" s="11" t="s">
        <v>1808</v>
      </c>
      <c r="H521" s="11" t="s">
        <v>10</v>
      </c>
      <c r="I521" s="13" t="n">
        <v>0.6</v>
      </c>
      <c r="J521" s="11" t="s">
        <v>49</v>
      </c>
      <c r="K521" s="12" t="s">
        <v>2043</v>
      </c>
      <c r="L521" s="12" t="s">
        <v>2044</v>
      </c>
      <c r="M521" s="11" t="s">
        <v>1809</v>
      </c>
      <c r="N521" s="12" t="s">
        <v>51</v>
      </c>
      <c r="O521" s="11" t="s">
        <v>28</v>
      </c>
      <c r="P521" s="11" t="s">
        <v>52</v>
      </c>
      <c r="Q521" s="12" t="s">
        <v>1910</v>
      </c>
    </row>
    <row r="522" customFormat="false" ht="53.7" hidden="false" customHeight="false" outlineLevel="0" collapsed="false">
      <c r="A522" s="11" t="s">
        <v>2045</v>
      </c>
      <c r="B522" s="11" t="s">
        <v>15</v>
      </c>
      <c r="C522" s="11" t="s">
        <v>1805</v>
      </c>
      <c r="D522" s="12" t="s">
        <v>2046</v>
      </c>
      <c r="E522" s="12" t="s">
        <v>2047</v>
      </c>
      <c r="F522" s="12" t="s">
        <v>2048</v>
      </c>
      <c r="G522" s="11" t="s">
        <v>1808</v>
      </c>
      <c r="H522" s="11" t="s">
        <v>10</v>
      </c>
      <c r="I522" s="13" t="n">
        <v>0.675</v>
      </c>
      <c r="J522" s="11" t="s">
        <v>49</v>
      </c>
      <c r="K522" s="12" t="s">
        <v>2049</v>
      </c>
      <c r="L522" s="12" t="s">
        <v>2050</v>
      </c>
      <c r="M522" s="11" t="s">
        <v>1809</v>
      </c>
      <c r="N522" s="12" t="s">
        <v>51</v>
      </c>
      <c r="O522" s="11" t="s">
        <v>28</v>
      </c>
      <c r="P522" s="11" t="s">
        <v>52</v>
      </c>
      <c r="Q522" s="12" t="s">
        <v>1910</v>
      </c>
    </row>
    <row r="523" customFormat="false" ht="53.7" hidden="false" customHeight="false" outlineLevel="0" collapsed="false">
      <c r="A523" s="11" t="s">
        <v>2051</v>
      </c>
      <c r="B523" s="11" t="s">
        <v>15</v>
      </c>
      <c r="C523" s="11" t="s">
        <v>1805</v>
      </c>
      <c r="D523" s="12" t="s">
        <v>2052</v>
      </c>
      <c r="E523" s="12" t="s">
        <v>2053</v>
      </c>
      <c r="F523" s="12" t="s">
        <v>2054</v>
      </c>
      <c r="G523" s="11" t="s">
        <v>1808</v>
      </c>
      <c r="H523" s="11" t="s">
        <v>10</v>
      </c>
      <c r="I523" s="13" t="n">
        <v>0.3125</v>
      </c>
      <c r="J523" s="11" t="s">
        <v>49</v>
      </c>
      <c r="K523" s="12" t="s">
        <v>2055</v>
      </c>
      <c r="L523" s="12" t="s">
        <v>2056</v>
      </c>
      <c r="M523" s="11" t="s">
        <v>1809</v>
      </c>
      <c r="N523" s="12" t="s">
        <v>51</v>
      </c>
      <c r="O523" s="11" t="s">
        <v>28</v>
      </c>
      <c r="P523" s="11" t="s">
        <v>52</v>
      </c>
      <c r="Q523" s="12" t="s">
        <v>1910</v>
      </c>
    </row>
    <row r="524" customFormat="false" ht="22.35" hidden="false" customHeight="false" outlineLevel="0" collapsed="false">
      <c r="A524" s="11" t="s">
        <v>2057</v>
      </c>
      <c r="B524" s="11" t="s">
        <v>15</v>
      </c>
      <c r="C524" s="11" t="s">
        <v>1805</v>
      </c>
      <c r="D524" s="12" t="s">
        <v>2058</v>
      </c>
      <c r="E524" s="12" t="s">
        <v>2059</v>
      </c>
      <c r="F524" s="12" t="s">
        <v>2060</v>
      </c>
      <c r="G524" s="11" t="s">
        <v>1808</v>
      </c>
      <c r="H524" s="11" t="s">
        <v>10</v>
      </c>
      <c r="I524" s="13" t="n">
        <v>0.5</v>
      </c>
      <c r="J524" s="11" t="s">
        <v>49</v>
      </c>
      <c r="K524" s="12" t="s">
        <v>2061</v>
      </c>
      <c r="L524" s="12" t="s">
        <v>2062</v>
      </c>
      <c r="M524" s="11" t="s">
        <v>1809</v>
      </c>
      <c r="N524" s="12" t="s">
        <v>51</v>
      </c>
      <c r="O524" s="11" t="s">
        <v>28</v>
      </c>
      <c r="P524" s="11" t="s">
        <v>52</v>
      </c>
      <c r="Q524" s="12" t="s">
        <v>1910</v>
      </c>
    </row>
    <row r="525" customFormat="false" ht="32.8" hidden="false" customHeight="false" outlineLevel="0" collapsed="false">
      <c r="A525" s="11" t="s">
        <v>2063</v>
      </c>
      <c r="B525" s="11" t="s">
        <v>15</v>
      </c>
      <c r="C525" s="11" t="s">
        <v>1805</v>
      </c>
      <c r="D525" s="12" t="s">
        <v>2064</v>
      </c>
      <c r="E525" s="12" t="s">
        <v>2065</v>
      </c>
      <c r="F525" s="12" t="s">
        <v>2066</v>
      </c>
      <c r="G525" s="11" t="s">
        <v>1808</v>
      </c>
      <c r="H525" s="11" t="s">
        <v>10</v>
      </c>
      <c r="I525" s="13" t="n">
        <v>0.461538461538462</v>
      </c>
      <c r="J525" s="11" t="s">
        <v>49</v>
      </c>
      <c r="K525" s="12" t="s">
        <v>2067</v>
      </c>
      <c r="L525" s="12" t="s">
        <v>2068</v>
      </c>
      <c r="M525" s="11" t="s">
        <v>1809</v>
      </c>
      <c r="N525" s="12" t="s">
        <v>51</v>
      </c>
      <c r="O525" s="11" t="s">
        <v>28</v>
      </c>
      <c r="P525" s="11" t="s">
        <v>52</v>
      </c>
      <c r="Q525" s="12" t="s">
        <v>1910</v>
      </c>
    </row>
    <row r="526" customFormat="false" ht="32.8" hidden="false" customHeight="false" outlineLevel="0" collapsed="false">
      <c r="A526" s="11" t="s">
        <v>2069</v>
      </c>
      <c r="B526" s="11" t="s">
        <v>15</v>
      </c>
      <c r="C526" s="11" t="s">
        <v>1805</v>
      </c>
      <c r="D526" s="12" t="s">
        <v>2070</v>
      </c>
      <c r="E526" s="12" t="s">
        <v>2071</v>
      </c>
      <c r="F526" s="12" t="s">
        <v>2072</v>
      </c>
      <c r="G526" s="11" t="s">
        <v>1808</v>
      </c>
      <c r="H526" s="11" t="s">
        <v>10</v>
      </c>
      <c r="I526" s="13" t="n">
        <v>0.5</v>
      </c>
      <c r="J526" s="11" t="s">
        <v>49</v>
      </c>
      <c r="K526" s="12" t="s">
        <v>2073</v>
      </c>
      <c r="L526" s="12" t="s">
        <v>2074</v>
      </c>
      <c r="M526" s="11" t="s">
        <v>1809</v>
      </c>
      <c r="N526" s="12" t="s">
        <v>51</v>
      </c>
      <c r="O526" s="11" t="s">
        <v>28</v>
      </c>
      <c r="P526" s="11" t="s">
        <v>52</v>
      </c>
      <c r="Q526" s="12" t="s">
        <v>1910</v>
      </c>
    </row>
    <row r="527" customFormat="false" ht="53.7" hidden="false" customHeight="false" outlineLevel="0" collapsed="false">
      <c r="A527" s="11" t="s">
        <v>2075</v>
      </c>
      <c r="B527" s="11" t="s">
        <v>15</v>
      </c>
      <c r="C527" s="11" t="s">
        <v>1805</v>
      </c>
      <c r="D527" s="12" t="s">
        <v>2076</v>
      </c>
      <c r="E527" s="12" t="s">
        <v>2077</v>
      </c>
      <c r="F527" s="12" t="s">
        <v>2078</v>
      </c>
      <c r="G527" s="11" t="s">
        <v>1808</v>
      </c>
      <c r="H527" s="11" t="s">
        <v>10</v>
      </c>
      <c r="I527" s="13" t="n">
        <v>0.5</v>
      </c>
      <c r="J527" s="11" t="s">
        <v>49</v>
      </c>
      <c r="K527" s="12" t="s">
        <v>2079</v>
      </c>
      <c r="L527" s="12" t="s">
        <v>2080</v>
      </c>
      <c r="M527" s="11" t="s">
        <v>1809</v>
      </c>
      <c r="N527" s="12" t="s">
        <v>51</v>
      </c>
      <c r="O527" s="11" t="s">
        <v>28</v>
      </c>
      <c r="P527" s="11" t="s">
        <v>52</v>
      </c>
      <c r="Q527" s="12" t="s">
        <v>1910</v>
      </c>
    </row>
    <row r="528" customFormat="false" ht="43.25" hidden="false" customHeight="false" outlineLevel="0" collapsed="false">
      <c r="A528" s="11" t="s">
        <v>2081</v>
      </c>
      <c r="B528" s="11" t="s">
        <v>15</v>
      </c>
      <c r="C528" s="11" t="s">
        <v>1805</v>
      </c>
      <c r="D528" s="12" t="s">
        <v>2082</v>
      </c>
      <c r="E528" s="12" t="s">
        <v>2083</v>
      </c>
      <c r="F528" s="12" t="s">
        <v>2084</v>
      </c>
      <c r="G528" s="11" t="s">
        <v>1808</v>
      </c>
      <c r="H528" s="11" t="s">
        <v>10</v>
      </c>
      <c r="I528" s="13" t="n">
        <v>0.555555555555556</v>
      </c>
      <c r="J528" s="11" t="s">
        <v>49</v>
      </c>
      <c r="K528" s="12" t="s">
        <v>2085</v>
      </c>
      <c r="L528" s="12" t="s">
        <v>2086</v>
      </c>
      <c r="M528" s="11" t="s">
        <v>1809</v>
      </c>
      <c r="N528" s="12" t="s">
        <v>51</v>
      </c>
      <c r="O528" s="11" t="s">
        <v>28</v>
      </c>
      <c r="P528" s="11" t="s">
        <v>52</v>
      </c>
      <c r="Q528" s="12" t="s">
        <v>1910</v>
      </c>
    </row>
    <row r="529" customFormat="false" ht="43.25" hidden="false" customHeight="false" outlineLevel="0" collapsed="false">
      <c r="A529" s="11" t="s">
        <v>2087</v>
      </c>
      <c r="B529" s="11" t="s">
        <v>15</v>
      </c>
      <c r="C529" s="11" t="s">
        <v>1805</v>
      </c>
      <c r="D529" s="12" t="s">
        <v>2088</v>
      </c>
      <c r="E529" s="12" t="s">
        <v>2089</v>
      </c>
      <c r="F529" s="12" t="s">
        <v>2090</v>
      </c>
      <c r="G529" s="11" t="s">
        <v>1808</v>
      </c>
      <c r="H529" s="11" t="s">
        <v>10</v>
      </c>
      <c r="I529" s="13" t="n">
        <v>0.256410256410256</v>
      </c>
      <c r="J529" s="11" t="s">
        <v>49</v>
      </c>
      <c r="K529" s="12" t="s">
        <v>2091</v>
      </c>
      <c r="L529" s="12" t="s">
        <v>2092</v>
      </c>
      <c r="M529" s="11" t="s">
        <v>1809</v>
      </c>
      <c r="N529" s="12" t="s">
        <v>51</v>
      </c>
      <c r="O529" s="11" t="s">
        <v>28</v>
      </c>
      <c r="P529" s="11" t="s">
        <v>52</v>
      </c>
      <c r="Q529" s="12" t="s">
        <v>1910</v>
      </c>
    </row>
    <row r="530" customFormat="false" ht="32.8" hidden="false" customHeight="false" outlineLevel="0" collapsed="false">
      <c r="A530" s="11" t="s">
        <v>2093</v>
      </c>
      <c r="B530" s="11" t="s">
        <v>15</v>
      </c>
      <c r="C530" s="11" t="s">
        <v>2094</v>
      </c>
      <c r="D530" s="12" t="s">
        <v>2095</v>
      </c>
      <c r="E530" s="12" t="s">
        <v>2096</v>
      </c>
      <c r="F530" s="12" t="s">
        <v>2097</v>
      </c>
      <c r="G530" s="11" t="s">
        <v>2098</v>
      </c>
      <c r="H530" s="11" t="s">
        <v>4</v>
      </c>
      <c r="I530" s="13" t="n">
        <v>0.846153846153846</v>
      </c>
      <c r="J530" s="11" t="s">
        <v>49</v>
      </c>
      <c r="K530" s="12" t="s">
        <v>2099</v>
      </c>
      <c r="L530" s="12" t="s">
        <v>2100</v>
      </c>
      <c r="M530" s="11" t="s">
        <v>1643</v>
      </c>
      <c r="N530" s="12" t="s">
        <v>51</v>
      </c>
      <c r="O530" s="11" t="s">
        <v>27</v>
      </c>
      <c r="P530" s="11" t="s">
        <v>52</v>
      </c>
      <c r="Q530" s="12"/>
    </row>
    <row r="531" customFormat="false" ht="32.8" hidden="false" customHeight="false" outlineLevel="0" collapsed="false">
      <c r="A531" s="11" t="s">
        <v>2101</v>
      </c>
      <c r="B531" s="11" t="s">
        <v>15</v>
      </c>
      <c r="C531" s="11" t="s">
        <v>2094</v>
      </c>
      <c r="D531" s="12" t="s">
        <v>2102</v>
      </c>
      <c r="E531" s="12" t="s">
        <v>2103</v>
      </c>
      <c r="F531" s="12" t="s">
        <v>2104</v>
      </c>
      <c r="G531" s="11" t="s">
        <v>2098</v>
      </c>
      <c r="H531" s="11" t="s">
        <v>9</v>
      </c>
      <c r="I531" s="13"/>
      <c r="J531" s="11" t="s">
        <v>49</v>
      </c>
      <c r="K531" s="12"/>
      <c r="L531" s="12"/>
      <c r="M531" s="11" t="s">
        <v>1643</v>
      </c>
      <c r="N531" s="12" t="s">
        <v>51</v>
      </c>
      <c r="O531" s="11" t="s">
        <v>28</v>
      </c>
      <c r="P531" s="11" t="s">
        <v>52</v>
      </c>
      <c r="Q531" s="12" t="s">
        <v>60</v>
      </c>
    </row>
    <row r="532" customFormat="false" ht="43.25" hidden="false" customHeight="false" outlineLevel="0" collapsed="false">
      <c r="A532" s="11" t="s">
        <v>2105</v>
      </c>
      <c r="B532" s="11" t="s">
        <v>15</v>
      </c>
      <c r="C532" s="11" t="s">
        <v>2094</v>
      </c>
      <c r="D532" s="12" t="s">
        <v>2106</v>
      </c>
      <c r="E532" s="12" t="s">
        <v>2107</v>
      </c>
      <c r="F532" s="12" t="s">
        <v>2108</v>
      </c>
      <c r="G532" s="11" t="s">
        <v>2098</v>
      </c>
      <c r="H532" s="11" t="s">
        <v>4</v>
      </c>
      <c r="I532" s="13" t="n">
        <v>0.75</v>
      </c>
      <c r="J532" s="11" t="s">
        <v>49</v>
      </c>
      <c r="K532" s="12" t="s">
        <v>2109</v>
      </c>
      <c r="L532" s="12" t="s">
        <v>2110</v>
      </c>
      <c r="M532" s="11" t="s">
        <v>1643</v>
      </c>
      <c r="N532" s="12" t="s">
        <v>51</v>
      </c>
      <c r="O532" s="11" t="s">
        <v>27</v>
      </c>
      <c r="P532" s="11" t="s">
        <v>52</v>
      </c>
      <c r="Q532" s="12"/>
    </row>
    <row r="533" customFormat="false" ht="22.35" hidden="false" customHeight="false" outlineLevel="0" collapsed="false">
      <c r="A533" s="11" t="s">
        <v>2111</v>
      </c>
      <c r="B533" s="11" t="s">
        <v>15</v>
      </c>
      <c r="C533" s="11" t="s">
        <v>2094</v>
      </c>
      <c r="D533" s="12" t="s">
        <v>2112</v>
      </c>
      <c r="E533" s="12" t="s">
        <v>2113</v>
      </c>
      <c r="F533" s="12" t="s">
        <v>2114</v>
      </c>
      <c r="G533" s="11" t="s">
        <v>2098</v>
      </c>
      <c r="H533" s="11" t="s">
        <v>4</v>
      </c>
      <c r="I533" s="13" t="n">
        <v>1</v>
      </c>
      <c r="J533" s="11" t="s">
        <v>49</v>
      </c>
      <c r="K533" s="12"/>
      <c r="L533" s="12"/>
      <c r="M533" s="11" t="s">
        <v>1643</v>
      </c>
      <c r="N533" s="12" t="s">
        <v>51</v>
      </c>
      <c r="O533" s="11" t="s">
        <v>27</v>
      </c>
      <c r="P533" s="11" t="s">
        <v>52</v>
      </c>
      <c r="Q533" s="12"/>
    </row>
    <row r="534" customFormat="false" ht="32.8" hidden="false" customHeight="false" outlineLevel="0" collapsed="false">
      <c r="A534" s="11" t="s">
        <v>2115</v>
      </c>
      <c r="B534" s="11" t="s">
        <v>15</v>
      </c>
      <c r="C534" s="11" t="s">
        <v>2094</v>
      </c>
      <c r="D534" s="12" t="s">
        <v>2116</v>
      </c>
      <c r="E534" s="12" t="s">
        <v>2117</v>
      </c>
      <c r="F534" s="12" t="s">
        <v>2118</v>
      </c>
      <c r="G534" s="11" t="s">
        <v>2098</v>
      </c>
      <c r="H534" s="11" t="s">
        <v>4</v>
      </c>
      <c r="I534" s="13" t="n">
        <v>0.9</v>
      </c>
      <c r="J534" s="11" t="s">
        <v>49</v>
      </c>
      <c r="K534" s="12" t="s">
        <v>2119</v>
      </c>
      <c r="L534" s="12" t="s">
        <v>2120</v>
      </c>
      <c r="M534" s="11" t="s">
        <v>1643</v>
      </c>
      <c r="N534" s="12" t="s">
        <v>51</v>
      </c>
      <c r="O534" s="11" t="s">
        <v>27</v>
      </c>
      <c r="P534" s="11" t="s">
        <v>52</v>
      </c>
      <c r="Q534" s="12"/>
    </row>
    <row r="535" customFormat="false" ht="43.25" hidden="false" customHeight="false" outlineLevel="0" collapsed="false">
      <c r="A535" s="11" t="s">
        <v>2121</v>
      </c>
      <c r="B535" s="11" t="s">
        <v>15</v>
      </c>
      <c r="C535" s="11" t="s">
        <v>2094</v>
      </c>
      <c r="D535" s="12" t="s">
        <v>694</v>
      </c>
      <c r="E535" s="12" t="s">
        <v>2122</v>
      </c>
      <c r="F535" s="12" t="s">
        <v>2123</v>
      </c>
      <c r="G535" s="11" t="s">
        <v>2098</v>
      </c>
      <c r="H535" s="11" t="s">
        <v>4</v>
      </c>
      <c r="I535" s="13" t="n">
        <v>0.7</v>
      </c>
      <c r="J535" s="11" t="s">
        <v>49</v>
      </c>
      <c r="K535" s="12" t="s">
        <v>2124</v>
      </c>
      <c r="L535" s="12" t="s">
        <v>2125</v>
      </c>
      <c r="M535" s="11" t="s">
        <v>1643</v>
      </c>
      <c r="N535" s="12" t="s">
        <v>51</v>
      </c>
      <c r="O535" s="11" t="s">
        <v>27</v>
      </c>
      <c r="P535" s="11" t="s">
        <v>52</v>
      </c>
      <c r="Q535" s="12"/>
    </row>
    <row r="536" customFormat="false" ht="32.8" hidden="false" customHeight="false" outlineLevel="0" collapsed="false">
      <c r="A536" s="11" t="s">
        <v>2126</v>
      </c>
      <c r="B536" s="11" t="s">
        <v>15</v>
      </c>
      <c r="C536" s="11" t="s">
        <v>2094</v>
      </c>
      <c r="D536" s="12" t="s">
        <v>2127</v>
      </c>
      <c r="E536" s="12" t="s">
        <v>2128</v>
      </c>
      <c r="F536" s="12" t="s">
        <v>2127</v>
      </c>
      <c r="G536" s="11" t="s">
        <v>2098</v>
      </c>
      <c r="H536" s="11" t="s">
        <v>4</v>
      </c>
      <c r="I536" s="13" t="n">
        <v>0.775</v>
      </c>
      <c r="J536" s="11" t="s">
        <v>49</v>
      </c>
      <c r="K536" s="12" t="s">
        <v>2129</v>
      </c>
      <c r="L536" s="12" t="s">
        <v>2130</v>
      </c>
      <c r="M536" s="11" t="s">
        <v>1643</v>
      </c>
      <c r="N536" s="12" t="s">
        <v>51</v>
      </c>
      <c r="O536" s="11" t="s">
        <v>27</v>
      </c>
      <c r="P536" s="11" t="s">
        <v>52</v>
      </c>
      <c r="Q536" s="12"/>
    </row>
    <row r="537" customFormat="false" ht="22.35" hidden="false" customHeight="false" outlineLevel="0" collapsed="false">
      <c r="A537" s="11" t="s">
        <v>2131</v>
      </c>
      <c r="B537" s="11" t="s">
        <v>15</v>
      </c>
      <c r="C537" s="11" t="s">
        <v>2094</v>
      </c>
      <c r="D537" s="12" t="s">
        <v>2132</v>
      </c>
      <c r="E537" s="12" t="s">
        <v>2133</v>
      </c>
      <c r="F537" s="12" t="s">
        <v>2134</v>
      </c>
      <c r="G537" s="11" t="s">
        <v>2098</v>
      </c>
      <c r="H537" s="11" t="s">
        <v>4</v>
      </c>
      <c r="I537" s="13" t="n">
        <v>0.85</v>
      </c>
      <c r="J537" s="11" t="s">
        <v>49</v>
      </c>
      <c r="K537" s="12" t="s">
        <v>2135</v>
      </c>
      <c r="L537" s="12" t="s">
        <v>2136</v>
      </c>
      <c r="M537" s="11" t="s">
        <v>1643</v>
      </c>
      <c r="N537" s="12" t="s">
        <v>51</v>
      </c>
      <c r="O537" s="11" t="s">
        <v>27</v>
      </c>
      <c r="P537" s="11" t="s">
        <v>52</v>
      </c>
      <c r="Q537" s="12"/>
    </row>
    <row r="538" customFormat="false" ht="43.25" hidden="false" customHeight="false" outlineLevel="0" collapsed="false">
      <c r="A538" s="11" t="s">
        <v>2137</v>
      </c>
      <c r="B538" s="11" t="s">
        <v>15</v>
      </c>
      <c r="C538" s="11" t="s">
        <v>2094</v>
      </c>
      <c r="D538" s="12" t="s">
        <v>2138</v>
      </c>
      <c r="E538" s="12" t="s">
        <v>2139</v>
      </c>
      <c r="F538" s="12" t="s">
        <v>2138</v>
      </c>
      <c r="G538" s="11" t="s">
        <v>2098</v>
      </c>
      <c r="H538" s="11" t="s">
        <v>4</v>
      </c>
      <c r="I538" s="13" t="n">
        <v>0.675</v>
      </c>
      <c r="J538" s="11" t="s">
        <v>49</v>
      </c>
      <c r="K538" s="12" t="s">
        <v>2140</v>
      </c>
      <c r="L538" s="12" t="s">
        <v>2141</v>
      </c>
      <c r="M538" s="11" t="s">
        <v>1643</v>
      </c>
      <c r="N538" s="12" t="s">
        <v>51</v>
      </c>
      <c r="O538" s="11" t="s">
        <v>27</v>
      </c>
      <c r="P538" s="11" t="s">
        <v>52</v>
      </c>
      <c r="Q538" s="12"/>
    </row>
    <row r="539" customFormat="false" ht="53.7" hidden="false" customHeight="false" outlineLevel="0" collapsed="false">
      <c r="A539" s="11" t="s">
        <v>2142</v>
      </c>
      <c r="B539" s="11" t="s">
        <v>15</v>
      </c>
      <c r="C539" s="11" t="s">
        <v>2094</v>
      </c>
      <c r="D539" s="12" t="s">
        <v>2143</v>
      </c>
      <c r="E539" s="12" t="s">
        <v>2144</v>
      </c>
      <c r="F539" s="12" t="s">
        <v>2145</v>
      </c>
      <c r="G539" s="11" t="s">
        <v>2098</v>
      </c>
      <c r="H539" s="11" t="s">
        <v>4</v>
      </c>
      <c r="I539" s="13" t="n">
        <v>0.675</v>
      </c>
      <c r="J539" s="11" t="s">
        <v>49</v>
      </c>
      <c r="K539" s="12" t="s">
        <v>2146</v>
      </c>
      <c r="L539" s="12" t="s">
        <v>2147</v>
      </c>
      <c r="M539" s="11" t="s">
        <v>1643</v>
      </c>
      <c r="N539" s="12" t="s">
        <v>51</v>
      </c>
      <c r="O539" s="11" t="s">
        <v>27</v>
      </c>
      <c r="P539" s="11" t="s">
        <v>52</v>
      </c>
      <c r="Q539" s="12"/>
    </row>
    <row r="540" customFormat="false" ht="53.7" hidden="false" customHeight="false" outlineLevel="0" collapsed="false">
      <c r="A540" s="11" t="s">
        <v>2148</v>
      </c>
      <c r="B540" s="11" t="s">
        <v>15</v>
      </c>
      <c r="C540" s="11" t="s">
        <v>2094</v>
      </c>
      <c r="D540" s="12" t="s">
        <v>2149</v>
      </c>
      <c r="E540" s="12" t="s">
        <v>2150</v>
      </c>
      <c r="F540" s="12" t="s">
        <v>2151</v>
      </c>
      <c r="G540" s="11" t="s">
        <v>2098</v>
      </c>
      <c r="H540" s="11" t="s">
        <v>4</v>
      </c>
      <c r="I540" s="13" t="n">
        <v>0.65</v>
      </c>
      <c r="J540" s="11" t="s">
        <v>49</v>
      </c>
      <c r="K540" s="12" t="s">
        <v>2152</v>
      </c>
      <c r="L540" s="12" t="s">
        <v>2153</v>
      </c>
      <c r="M540" s="11" t="s">
        <v>1643</v>
      </c>
      <c r="N540" s="12" t="s">
        <v>51</v>
      </c>
      <c r="O540" s="11" t="s">
        <v>27</v>
      </c>
      <c r="P540" s="11" t="s">
        <v>52</v>
      </c>
      <c r="Q540" s="12"/>
    </row>
    <row r="541" customFormat="false" ht="53.7" hidden="false" customHeight="false" outlineLevel="0" collapsed="false">
      <c r="A541" s="11" t="s">
        <v>2154</v>
      </c>
      <c r="B541" s="11" t="s">
        <v>15</v>
      </c>
      <c r="C541" s="11" t="s">
        <v>2094</v>
      </c>
      <c r="D541" s="12" t="s">
        <v>2155</v>
      </c>
      <c r="E541" s="12" t="s">
        <v>2156</v>
      </c>
      <c r="F541" s="12" t="s">
        <v>2155</v>
      </c>
      <c r="G541" s="11" t="s">
        <v>2098</v>
      </c>
      <c r="H541" s="11" t="s">
        <v>5</v>
      </c>
      <c r="I541" s="13" t="n">
        <v>0.45</v>
      </c>
      <c r="J541" s="11" t="s">
        <v>49</v>
      </c>
      <c r="K541" s="12" t="s">
        <v>2157</v>
      </c>
      <c r="L541" s="12" t="s">
        <v>2158</v>
      </c>
      <c r="M541" s="11" t="s">
        <v>1643</v>
      </c>
      <c r="N541" s="12" t="s">
        <v>2159</v>
      </c>
      <c r="O541" s="11" t="s">
        <v>25</v>
      </c>
      <c r="P541" s="11" t="s">
        <v>52</v>
      </c>
      <c r="Q541" s="12"/>
    </row>
    <row r="542" customFormat="false" ht="22.35" hidden="false" customHeight="false" outlineLevel="0" collapsed="false">
      <c r="A542" s="11" t="s">
        <v>2160</v>
      </c>
      <c r="B542" s="11" t="s">
        <v>15</v>
      </c>
      <c r="C542" s="11" t="s">
        <v>2094</v>
      </c>
      <c r="D542" s="12" t="s">
        <v>2161</v>
      </c>
      <c r="E542" s="12" t="s">
        <v>2162</v>
      </c>
      <c r="F542" s="12" t="s">
        <v>2163</v>
      </c>
      <c r="G542" s="11" t="s">
        <v>2098</v>
      </c>
      <c r="H542" s="11" t="s">
        <v>4</v>
      </c>
      <c r="I542" s="13" t="n">
        <v>0.647058823529412</v>
      </c>
      <c r="J542" s="11" t="s">
        <v>49</v>
      </c>
      <c r="K542" s="12" t="s">
        <v>2164</v>
      </c>
      <c r="L542" s="12" t="s">
        <v>2165</v>
      </c>
      <c r="M542" s="11" t="s">
        <v>1643</v>
      </c>
      <c r="N542" s="12" t="s">
        <v>51</v>
      </c>
      <c r="O542" s="11" t="s">
        <v>27</v>
      </c>
      <c r="P542" s="11" t="s">
        <v>52</v>
      </c>
      <c r="Q542" s="12"/>
    </row>
    <row r="543" customFormat="false" ht="43.25" hidden="false" customHeight="false" outlineLevel="0" collapsed="false">
      <c r="A543" s="11" t="s">
        <v>2166</v>
      </c>
      <c r="B543" s="11" t="s">
        <v>15</v>
      </c>
      <c r="C543" s="11" t="s">
        <v>2094</v>
      </c>
      <c r="D543" s="12" t="s">
        <v>2167</v>
      </c>
      <c r="E543" s="12" t="s">
        <v>2168</v>
      </c>
      <c r="F543" s="12" t="s">
        <v>2169</v>
      </c>
      <c r="G543" s="11" t="s">
        <v>2098</v>
      </c>
      <c r="H543" s="11" t="s">
        <v>4</v>
      </c>
      <c r="I543" s="13" t="n">
        <v>0.725</v>
      </c>
      <c r="J543" s="11" t="s">
        <v>49</v>
      </c>
      <c r="K543" s="12" t="s">
        <v>2170</v>
      </c>
      <c r="L543" s="12" t="s">
        <v>2171</v>
      </c>
      <c r="M543" s="11" t="s">
        <v>1643</v>
      </c>
      <c r="N543" s="12" t="s">
        <v>51</v>
      </c>
      <c r="O543" s="11" t="s">
        <v>27</v>
      </c>
      <c r="P543" s="11" t="s">
        <v>52</v>
      </c>
      <c r="Q543" s="12"/>
    </row>
    <row r="544" customFormat="false" ht="43.25" hidden="false" customHeight="false" outlineLevel="0" collapsed="false">
      <c r="A544" s="11" t="s">
        <v>2172</v>
      </c>
      <c r="B544" s="11" t="s">
        <v>15</v>
      </c>
      <c r="C544" s="11" t="s">
        <v>2094</v>
      </c>
      <c r="D544" s="12" t="s">
        <v>2173</v>
      </c>
      <c r="E544" s="12" t="s">
        <v>2174</v>
      </c>
      <c r="F544" s="12" t="s">
        <v>2173</v>
      </c>
      <c r="G544" s="11" t="s">
        <v>2098</v>
      </c>
      <c r="H544" s="11" t="s">
        <v>4</v>
      </c>
      <c r="I544" s="13" t="n">
        <v>0.65</v>
      </c>
      <c r="J544" s="11" t="s">
        <v>49</v>
      </c>
      <c r="K544" s="12" t="s">
        <v>2175</v>
      </c>
      <c r="L544" s="12" t="s">
        <v>2176</v>
      </c>
      <c r="M544" s="11" t="s">
        <v>1643</v>
      </c>
      <c r="N544" s="12" t="s">
        <v>51</v>
      </c>
      <c r="O544" s="11" t="s">
        <v>27</v>
      </c>
      <c r="P544" s="11" t="s">
        <v>52</v>
      </c>
      <c r="Q544" s="12"/>
    </row>
    <row r="545" customFormat="false" ht="22.35" hidden="false" customHeight="false" outlineLevel="0" collapsed="false">
      <c r="A545" s="11" t="s">
        <v>2177</v>
      </c>
      <c r="B545" s="11" t="s">
        <v>15</v>
      </c>
      <c r="C545" s="11" t="s">
        <v>2094</v>
      </c>
      <c r="D545" s="12" t="s">
        <v>2178</v>
      </c>
      <c r="E545" s="12" t="s">
        <v>2179</v>
      </c>
      <c r="F545" s="12" t="s">
        <v>2180</v>
      </c>
      <c r="G545" s="11" t="s">
        <v>8</v>
      </c>
      <c r="H545" s="11" t="s">
        <v>8</v>
      </c>
      <c r="I545" s="13" t="n">
        <v>0.6</v>
      </c>
      <c r="J545" s="11" t="s">
        <v>49</v>
      </c>
      <c r="K545" s="12" t="s">
        <v>2181</v>
      </c>
      <c r="L545" s="12" t="s">
        <v>2182</v>
      </c>
      <c r="M545" s="11" t="s">
        <v>1809</v>
      </c>
      <c r="N545" s="12" t="s">
        <v>51</v>
      </c>
      <c r="O545" s="11" t="s">
        <v>28</v>
      </c>
      <c r="P545" s="11" t="s">
        <v>52</v>
      </c>
      <c r="Q545" s="12" t="s">
        <v>2183</v>
      </c>
    </row>
    <row r="546" customFormat="false" ht="32.8" hidden="false" customHeight="false" outlineLevel="0" collapsed="false">
      <c r="A546" s="11" t="s">
        <v>2184</v>
      </c>
      <c r="B546" s="11" t="s">
        <v>15</v>
      </c>
      <c r="C546" s="11" t="s">
        <v>2094</v>
      </c>
      <c r="D546" s="12" t="s">
        <v>2185</v>
      </c>
      <c r="E546" s="12" t="s">
        <v>2186</v>
      </c>
      <c r="F546" s="12" t="s">
        <v>2187</v>
      </c>
      <c r="G546" s="11" t="s">
        <v>8</v>
      </c>
      <c r="H546" s="11" t="s">
        <v>8</v>
      </c>
      <c r="I546" s="13" t="n">
        <v>0.363636363636364</v>
      </c>
      <c r="J546" s="11" t="s">
        <v>49</v>
      </c>
      <c r="K546" s="12" t="s">
        <v>1249</v>
      </c>
      <c r="L546" s="12" t="s">
        <v>2188</v>
      </c>
      <c r="M546" s="11" t="s">
        <v>1809</v>
      </c>
      <c r="N546" s="12" t="s">
        <v>51</v>
      </c>
      <c r="O546" s="11" t="s">
        <v>28</v>
      </c>
      <c r="P546" s="11" t="s">
        <v>52</v>
      </c>
      <c r="Q546" s="12" t="s">
        <v>2183</v>
      </c>
    </row>
    <row r="547" customFormat="false" ht="32.8" hidden="false" customHeight="false" outlineLevel="0" collapsed="false">
      <c r="A547" s="11" t="s">
        <v>2189</v>
      </c>
      <c r="B547" s="11" t="s">
        <v>15</v>
      </c>
      <c r="C547" s="11" t="s">
        <v>2094</v>
      </c>
      <c r="D547" s="12" t="s">
        <v>2190</v>
      </c>
      <c r="E547" s="12" t="s">
        <v>2191</v>
      </c>
      <c r="F547" s="12" t="s">
        <v>2192</v>
      </c>
      <c r="G547" s="11" t="s">
        <v>8</v>
      </c>
      <c r="H547" s="11" t="s">
        <v>8</v>
      </c>
      <c r="I547" s="13" t="n">
        <v>0.578947368421053</v>
      </c>
      <c r="J547" s="11" t="s">
        <v>49</v>
      </c>
      <c r="K547" s="12" t="s">
        <v>2193</v>
      </c>
      <c r="L547" s="12" t="s">
        <v>2194</v>
      </c>
      <c r="M547" s="11" t="s">
        <v>1809</v>
      </c>
      <c r="N547" s="12" t="s">
        <v>51</v>
      </c>
      <c r="O547" s="11" t="s">
        <v>28</v>
      </c>
      <c r="P547" s="11" t="s">
        <v>52</v>
      </c>
      <c r="Q547" s="12" t="s">
        <v>2183</v>
      </c>
    </row>
    <row r="548" customFormat="false" ht="53.7" hidden="false" customHeight="false" outlineLevel="0" collapsed="false">
      <c r="A548" s="11" t="s">
        <v>2195</v>
      </c>
      <c r="B548" s="11" t="s">
        <v>15</v>
      </c>
      <c r="C548" s="11" t="s">
        <v>2094</v>
      </c>
      <c r="D548" s="12" t="s">
        <v>2196</v>
      </c>
      <c r="E548" s="12" t="s">
        <v>2197</v>
      </c>
      <c r="F548" s="12" t="s">
        <v>2198</v>
      </c>
      <c r="G548" s="11" t="s">
        <v>8</v>
      </c>
      <c r="H548" s="11" t="s">
        <v>8</v>
      </c>
      <c r="I548" s="13" t="n">
        <v>0.4</v>
      </c>
      <c r="J548" s="11" t="s">
        <v>49</v>
      </c>
      <c r="K548" s="12" t="s">
        <v>2199</v>
      </c>
      <c r="L548" s="12" t="s">
        <v>2200</v>
      </c>
      <c r="M548" s="11" t="s">
        <v>1809</v>
      </c>
      <c r="N548" s="12" t="s">
        <v>51</v>
      </c>
      <c r="O548" s="11" t="s">
        <v>28</v>
      </c>
      <c r="P548" s="11" t="s">
        <v>52</v>
      </c>
      <c r="Q548" s="12" t="s">
        <v>2183</v>
      </c>
    </row>
    <row r="549" customFormat="false" ht="43.25" hidden="false" customHeight="false" outlineLevel="0" collapsed="false">
      <c r="A549" s="11" t="s">
        <v>2201</v>
      </c>
      <c r="B549" s="11" t="s">
        <v>15</v>
      </c>
      <c r="C549" s="11" t="s">
        <v>2094</v>
      </c>
      <c r="D549" s="12" t="s">
        <v>2202</v>
      </c>
      <c r="E549" s="12" t="s">
        <v>2203</v>
      </c>
      <c r="F549" s="12" t="s">
        <v>2204</v>
      </c>
      <c r="G549" s="11" t="s">
        <v>8</v>
      </c>
      <c r="H549" s="11" t="s">
        <v>8</v>
      </c>
      <c r="I549" s="13" t="n">
        <v>0.548387096774194</v>
      </c>
      <c r="J549" s="11" t="s">
        <v>49</v>
      </c>
      <c r="K549" s="12" t="s">
        <v>2205</v>
      </c>
      <c r="L549" s="12" t="s">
        <v>2206</v>
      </c>
      <c r="M549" s="11" t="s">
        <v>1809</v>
      </c>
      <c r="N549" s="12" t="s">
        <v>51</v>
      </c>
      <c r="O549" s="11" t="s">
        <v>28</v>
      </c>
      <c r="P549" s="11" t="s">
        <v>52</v>
      </c>
      <c r="Q549" s="12" t="s">
        <v>2183</v>
      </c>
    </row>
    <row r="550" customFormat="false" ht="32.8" hidden="false" customHeight="false" outlineLevel="0" collapsed="false">
      <c r="A550" s="11" t="s">
        <v>2207</v>
      </c>
      <c r="B550" s="11" t="s">
        <v>15</v>
      </c>
      <c r="C550" s="11" t="s">
        <v>2094</v>
      </c>
      <c r="D550" s="12" t="s">
        <v>2208</v>
      </c>
      <c r="E550" s="12" t="s">
        <v>2209</v>
      </c>
      <c r="F550" s="12" t="s">
        <v>2210</v>
      </c>
      <c r="G550" s="11" t="s">
        <v>8</v>
      </c>
      <c r="H550" s="11" t="s">
        <v>8</v>
      </c>
      <c r="I550" s="13" t="n">
        <v>0.333333333333333</v>
      </c>
      <c r="J550" s="11" t="s">
        <v>49</v>
      </c>
      <c r="K550" s="12" t="s">
        <v>2211</v>
      </c>
      <c r="L550" s="12" t="s">
        <v>2212</v>
      </c>
      <c r="M550" s="11" t="s">
        <v>1809</v>
      </c>
      <c r="N550" s="12" t="s">
        <v>51</v>
      </c>
      <c r="O550" s="11" t="s">
        <v>28</v>
      </c>
      <c r="P550" s="11" t="s">
        <v>52</v>
      </c>
      <c r="Q550" s="12" t="s">
        <v>2183</v>
      </c>
    </row>
    <row r="551" customFormat="false" ht="53.7" hidden="false" customHeight="false" outlineLevel="0" collapsed="false">
      <c r="A551" s="11" t="s">
        <v>2213</v>
      </c>
      <c r="B551" s="11" t="s">
        <v>15</v>
      </c>
      <c r="C551" s="11" t="s">
        <v>2094</v>
      </c>
      <c r="D551" s="12" t="s">
        <v>2214</v>
      </c>
      <c r="E551" s="12" t="s">
        <v>2215</v>
      </c>
      <c r="F551" s="12" t="s">
        <v>2216</v>
      </c>
      <c r="G551" s="11" t="s">
        <v>8</v>
      </c>
      <c r="H551" s="11" t="s">
        <v>8</v>
      </c>
      <c r="I551" s="13" t="n">
        <v>0.5</v>
      </c>
      <c r="J551" s="11" t="s">
        <v>49</v>
      </c>
      <c r="K551" s="12" t="s">
        <v>2217</v>
      </c>
      <c r="L551" s="12" t="s">
        <v>2218</v>
      </c>
      <c r="M551" s="11" t="s">
        <v>1809</v>
      </c>
      <c r="N551" s="12" t="s">
        <v>51</v>
      </c>
      <c r="O551" s="11" t="s">
        <v>28</v>
      </c>
      <c r="P551" s="11" t="s">
        <v>52</v>
      </c>
      <c r="Q551" s="12" t="s">
        <v>2183</v>
      </c>
    </row>
    <row r="552" customFormat="false" ht="22.35" hidden="false" customHeight="false" outlineLevel="0" collapsed="false">
      <c r="A552" s="11" t="s">
        <v>2219</v>
      </c>
      <c r="B552" s="11" t="s">
        <v>15</v>
      </c>
      <c r="C552" s="11" t="s">
        <v>2094</v>
      </c>
      <c r="D552" s="12" t="s">
        <v>2220</v>
      </c>
      <c r="E552" s="12" t="s">
        <v>2221</v>
      </c>
      <c r="F552" s="12" t="s">
        <v>2222</v>
      </c>
      <c r="G552" s="11" t="s">
        <v>8</v>
      </c>
      <c r="H552" s="11" t="s">
        <v>8</v>
      </c>
      <c r="I552" s="13" t="n">
        <v>0.615384615384615</v>
      </c>
      <c r="J552" s="11" t="s">
        <v>49</v>
      </c>
      <c r="K552" s="12" t="s">
        <v>2223</v>
      </c>
      <c r="L552" s="12" t="s">
        <v>2224</v>
      </c>
      <c r="M552" s="11" t="s">
        <v>1809</v>
      </c>
      <c r="N552" s="12" t="s">
        <v>51</v>
      </c>
      <c r="O552" s="11" t="s">
        <v>28</v>
      </c>
      <c r="P552" s="11" t="s">
        <v>52</v>
      </c>
      <c r="Q552" s="12" t="s">
        <v>2183</v>
      </c>
    </row>
    <row r="553" customFormat="false" ht="53.7" hidden="false" customHeight="false" outlineLevel="0" collapsed="false">
      <c r="A553" s="11" t="s">
        <v>2225</v>
      </c>
      <c r="B553" s="11" t="s">
        <v>15</v>
      </c>
      <c r="C553" s="11" t="s">
        <v>2094</v>
      </c>
      <c r="D553" s="12" t="s">
        <v>2226</v>
      </c>
      <c r="E553" s="12" t="s">
        <v>2227</v>
      </c>
      <c r="F553" s="12" t="s">
        <v>2228</v>
      </c>
      <c r="G553" s="11" t="s">
        <v>8</v>
      </c>
      <c r="H553" s="11" t="s">
        <v>8</v>
      </c>
      <c r="I553" s="13" t="n">
        <v>0.1875</v>
      </c>
      <c r="J553" s="11" t="s">
        <v>49</v>
      </c>
      <c r="K553" s="12" t="s">
        <v>2229</v>
      </c>
      <c r="L553" s="12" t="s">
        <v>2230</v>
      </c>
      <c r="M553" s="11" t="s">
        <v>1809</v>
      </c>
      <c r="N553" s="12" t="s">
        <v>51</v>
      </c>
      <c r="O553" s="11" t="s">
        <v>28</v>
      </c>
      <c r="P553" s="11" t="s">
        <v>52</v>
      </c>
      <c r="Q553" s="12" t="s">
        <v>2183</v>
      </c>
    </row>
    <row r="554" customFormat="false" ht="22.35" hidden="false" customHeight="false" outlineLevel="0" collapsed="false">
      <c r="A554" s="11" t="s">
        <v>2231</v>
      </c>
      <c r="B554" s="11" t="s">
        <v>15</v>
      </c>
      <c r="C554" s="11" t="s">
        <v>2094</v>
      </c>
      <c r="D554" s="12" t="s">
        <v>2232</v>
      </c>
      <c r="E554" s="12" t="s">
        <v>2233</v>
      </c>
      <c r="F554" s="12" t="s">
        <v>2234</v>
      </c>
      <c r="G554" s="11" t="s">
        <v>8</v>
      </c>
      <c r="H554" s="11" t="s">
        <v>8</v>
      </c>
      <c r="I554" s="13" t="n">
        <v>0.333333333333333</v>
      </c>
      <c r="J554" s="11" t="s">
        <v>49</v>
      </c>
      <c r="K554" s="12" t="s">
        <v>2235</v>
      </c>
      <c r="L554" s="12" t="s">
        <v>2236</v>
      </c>
      <c r="M554" s="11" t="s">
        <v>1809</v>
      </c>
      <c r="N554" s="12" t="s">
        <v>51</v>
      </c>
      <c r="O554" s="11" t="s">
        <v>28</v>
      </c>
      <c r="P554" s="11" t="s">
        <v>52</v>
      </c>
      <c r="Q554" s="12" t="s">
        <v>2183</v>
      </c>
    </row>
    <row r="555" customFormat="false" ht="32.8" hidden="false" customHeight="false" outlineLevel="0" collapsed="false">
      <c r="A555" s="11" t="s">
        <v>2237</v>
      </c>
      <c r="B555" s="11" t="s">
        <v>15</v>
      </c>
      <c r="C555" s="11" t="s">
        <v>2094</v>
      </c>
      <c r="D555" s="12" t="s">
        <v>2238</v>
      </c>
      <c r="E555" s="12" t="s">
        <v>2239</v>
      </c>
      <c r="F555" s="12" t="s">
        <v>2240</v>
      </c>
      <c r="G555" s="11" t="s">
        <v>8</v>
      </c>
      <c r="H555" s="11" t="s">
        <v>8</v>
      </c>
      <c r="I555" s="13" t="n">
        <v>0.466666666666667</v>
      </c>
      <c r="J555" s="11" t="s">
        <v>49</v>
      </c>
      <c r="K555" s="12" t="s">
        <v>2241</v>
      </c>
      <c r="L555" s="12" t="s">
        <v>2242</v>
      </c>
      <c r="M555" s="11" t="s">
        <v>1809</v>
      </c>
      <c r="N555" s="12" t="s">
        <v>51</v>
      </c>
      <c r="O555" s="11" t="s">
        <v>28</v>
      </c>
      <c r="P555" s="11" t="s">
        <v>52</v>
      </c>
      <c r="Q555" s="12" t="s">
        <v>2183</v>
      </c>
    </row>
    <row r="556" customFormat="false" ht="22.35" hidden="false" customHeight="false" outlineLevel="0" collapsed="false">
      <c r="A556" s="11" t="s">
        <v>2243</v>
      </c>
      <c r="B556" s="11" t="s">
        <v>15</v>
      </c>
      <c r="C556" s="11" t="s">
        <v>2094</v>
      </c>
      <c r="D556" s="12" t="s">
        <v>2244</v>
      </c>
      <c r="E556" s="12" t="s">
        <v>2245</v>
      </c>
      <c r="F556" s="12" t="s">
        <v>2246</v>
      </c>
      <c r="G556" s="11" t="s">
        <v>8</v>
      </c>
      <c r="H556" s="11" t="s">
        <v>8</v>
      </c>
      <c r="I556" s="13" t="n">
        <v>0.5</v>
      </c>
      <c r="J556" s="11" t="s">
        <v>49</v>
      </c>
      <c r="K556" s="12" t="s">
        <v>2247</v>
      </c>
      <c r="L556" s="12" t="s">
        <v>2248</v>
      </c>
      <c r="M556" s="11" t="s">
        <v>1809</v>
      </c>
      <c r="N556" s="12" t="s">
        <v>51</v>
      </c>
      <c r="O556" s="11" t="s">
        <v>28</v>
      </c>
      <c r="P556" s="11" t="s">
        <v>52</v>
      </c>
      <c r="Q556" s="12" t="s">
        <v>2183</v>
      </c>
    </row>
    <row r="557" customFormat="false" ht="32.8" hidden="false" customHeight="false" outlineLevel="0" collapsed="false">
      <c r="A557" s="11" t="s">
        <v>2249</v>
      </c>
      <c r="B557" s="11" t="s">
        <v>15</v>
      </c>
      <c r="C557" s="11" t="s">
        <v>2094</v>
      </c>
      <c r="D557" s="12" t="s">
        <v>2250</v>
      </c>
      <c r="E557" s="12" t="s">
        <v>2251</v>
      </c>
      <c r="F557" s="12" t="s">
        <v>2252</v>
      </c>
      <c r="G557" s="11" t="s">
        <v>8</v>
      </c>
      <c r="H557" s="11" t="s">
        <v>8</v>
      </c>
      <c r="I557" s="13" t="n">
        <v>1</v>
      </c>
      <c r="J557" s="11" t="s">
        <v>49</v>
      </c>
      <c r="K557" s="12" t="s">
        <v>2253</v>
      </c>
      <c r="L557" s="12"/>
      <c r="M557" s="11" t="s">
        <v>1809</v>
      </c>
      <c r="N557" s="12" t="s">
        <v>51</v>
      </c>
      <c r="O557" s="11" t="s">
        <v>28</v>
      </c>
      <c r="P557" s="11" t="s">
        <v>52</v>
      </c>
      <c r="Q557" s="12" t="s">
        <v>2183</v>
      </c>
    </row>
    <row r="558" customFormat="false" ht="32.8" hidden="false" customHeight="false" outlineLevel="0" collapsed="false">
      <c r="A558" s="11" t="s">
        <v>2254</v>
      </c>
      <c r="B558" s="11" t="s">
        <v>15</v>
      </c>
      <c r="C558" s="11" t="s">
        <v>2094</v>
      </c>
      <c r="D558" s="12" t="s">
        <v>2255</v>
      </c>
      <c r="E558" s="12" t="s">
        <v>2256</v>
      </c>
      <c r="F558" s="12" t="s">
        <v>2257</v>
      </c>
      <c r="G558" s="11" t="s">
        <v>8</v>
      </c>
      <c r="H558" s="11" t="s">
        <v>8</v>
      </c>
      <c r="I558" s="13" t="n">
        <v>0.538461538461538</v>
      </c>
      <c r="J558" s="11" t="s">
        <v>49</v>
      </c>
      <c r="K558" s="12" t="s">
        <v>2258</v>
      </c>
      <c r="L558" s="12" t="s">
        <v>2259</v>
      </c>
      <c r="M558" s="11" t="s">
        <v>1809</v>
      </c>
      <c r="N558" s="12" t="s">
        <v>51</v>
      </c>
      <c r="O558" s="11" t="s">
        <v>28</v>
      </c>
      <c r="P558" s="11" t="s">
        <v>52</v>
      </c>
      <c r="Q558" s="12" t="s">
        <v>2183</v>
      </c>
    </row>
    <row r="559" customFormat="false" ht="32.8" hidden="false" customHeight="false" outlineLevel="0" collapsed="false">
      <c r="A559" s="11" t="s">
        <v>2260</v>
      </c>
      <c r="B559" s="11" t="s">
        <v>15</v>
      </c>
      <c r="C559" s="11" t="s">
        <v>2094</v>
      </c>
      <c r="D559" s="12" t="s">
        <v>2261</v>
      </c>
      <c r="E559" s="12" t="s">
        <v>2262</v>
      </c>
      <c r="F559" s="12" t="s">
        <v>2263</v>
      </c>
      <c r="G559" s="11" t="s">
        <v>8</v>
      </c>
      <c r="H559" s="11" t="s">
        <v>8</v>
      </c>
      <c r="I559" s="13" t="n">
        <v>0.666666666666667</v>
      </c>
      <c r="J559" s="11" t="s">
        <v>49</v>
      </c>
      <c r="K559" s="12" t="s">
        <v>2264</v>
      </c>
      <c r="L559" s="12" t="s">
        <v>2265</v>
      </c>
      <c r="M559" s="11" t="s">
        <v>1809</v>
      </c>
      <c r="N559" s="12" t="s">
        <v>51</v>
      </c>
      <c r="O559" s="11" t="s">
        <v>28</v>
      </c>
      <c r="P559" s="11" t="s">
        <v>52</v>
      </c>
      <c r="Q559" s="12" t="s">
        <v>2183</v>
      </c>
    </row>
    <row r="560" customFormat="false" ht="22.35" hidden="false" customHeight="false" outlineLevel="0" collapsed="false">
      <c r="A560" s="11" t="s">
        <v>2266</v>
      </c>
      <c r="B560" s="11" t="s">
        <v>15</v>
      </c>
      <c r="C560" s="11" t="s">
        <v>2094</v>
      </c>
      <c r="D560" s="12" t="s">
        <v>2267</v>
      </c>
      <c r="E560" s="12" t="s">
        <v>2268</v>
      </c>
      <c r="F560" s="12" t="s">
        <v>2269</v>
      </c>
      <c r="G560" s="11" t="s">
        <v>8</v>
      </c>
      <c r="H560" s="11" t="s">
        <v>8</v>
      </c>
      <c r="I560" s="13" t="n">
        <v>0.285714285714286</v>
      </c>
      <c r="J560" s="11" t="s">
        <v>49</v>
      </c>
      <c r="K560" s="12" t="s">
        <v>2270</v>
      </c>
      <c r="L560" s="12" t="s">
        <v>2271</v>
      </c>
      <c r="M560" s="11" t="s">
        <v>1809</v>
      </c>
      <c r="N560" s="12" t="s">
        <v>51</v>
      </c>
      <c r="O560" s="11" t="s">
        <v>28</v>
      </c>
      <c r="P560" s="11" t="s">
        <v>52</v>
      </c>
      <c r="Q560" s="12" t="s">
        <v>2183</v>
      </c>
    </row>
    <row r="561" customFormat="false" ht="43.25" hidden="false" customHeight="false" outlineLevel="0" collapsed="false">
      <c r="A561" s="11" t="s">
        <v>2272</v>
      </c>
      <c r="B561" s="11" t="s">
        <v>15</v>
      </c>
      <c r="C561" s="11" t="s">
        <v>2094</v>
      </c>
      <c r="D561" s="12" t="s">
        <v>2273</v>
      </c>
      <c r="E561" s="12" t="s">
        <v>2274</v>
      </c>
      <c r="F561" s="12" t="s">
        <v>2275</v>
      </c>
      <c r="G561" s="11" t="s">
        <v>8</v>
      </c>
      <c r="H561" s="11" t="s">
        <v>8</v>
      </c>
      <c r="I561" s="13" t="n">
        <v>0.35</v>
      </c>
      <c r="J561" s="11" t="s">
        <v>49</v>
      </c>
      <c r="K561" s="12" t="s">
        <v>2276</v>
      </c>
      <c r="L561" s="12" t="s">
        <v>2277</v>
      </c>
      <c r="M561" s="11" t="s">
        <v>1809</v>
      </c>
      <c r="N561" s="12" t="s">
        <v>51</v>
      </c>
      <c r="O561" s="11" t="s">
        <v>28</v>
      </c>
      <c r="P561" s="11" t="s">
        <v>52</v>
      </c>
      <c r="Q561" s="12" t="s">
        <v>2183</v>
      </c>
    </row>
    <row r="562" customFormat="false" ht="22.35" hidden="false" customHeight="false" outlineLevel="0" collapsed="false">
      <c r="A562" s="11" t="s">
        <v>2278</v>
      </c>
      <c r="B562" s="11" t="s">
        <v>15</v>
      </c>
      <c r="C562" s="11" t="s">
        <v>2094</v>
      </c>
      <c r="D562" s="12" t="s">
        <v>2279</v>
      </c>
      <c r="E562" s="12" t="s">
        <v>2280</v>
      </c>
      <c r="F562" s="12" t="s">
        <v>2281</v>
      </c>
      <c r="G562" s="11" t="s">
        <v>8</v>
      </c>
      <c r="H562" s="11" t="s">
        <v>8</v>
      </c>
      <c r="I562" s="13" t="n">
        <v>0.555555555555556</v>
      </c>
      <c r="J562" s="11" t="s">
        <v>49</v>
      </c>
      <c r="K562" s="12" t="s">
        <v>2282</v>
      </c>
      <c r="L562" s="12" t="s">
        <v>2283</v>
      </c>
      <c r="M562" s="11" t="s">
        <v>1809</v>
      </c>
      <c r="N562" s="12" t="s">
        <v>51</v>
      </c>
      <c r="O562" s="11" t="s">
        <v>28</v>
      </c>
      <c r="P562" s="11" t="s">
        <v>52</v>
      </c>
      <c r="Q562" s="12" t="s">
        <v>2183</v>
      </c>
    </row>
    <row r="563" customFormat="false" ht="64.15" hidden="false" customHeight="false" outlineLevel="0" collapsed="false">
      <c r="A563" s="11" t="s">
        <v>2284</v>
      </c>
      <c r="B563" s="11" t="s">
        <v>15</v>
      </c>
      <c r="C563" s="11" t="s">
        <v>2094</v>
      </c>
      <c r="D563" s="12" t="s">
        <v>2285</v>
      </c>
      <c r="E563" s="12" t="s">
        <v>2286</v>
      </c>
      <c r="F563" s="12" t="s">
        <v>2287</v>
      </c>
      <c r="G563" s="11" t="s">
        <v>8</v>
      </c>
      <c r="H563" s="11" t="s">
        <v>8</v>
      </c>
      <c r="I563" s="13" t="n">
        <v>0.210526315789474</v>
      </c>
      <c r="J563" s="11" t="s">
        <v>49</v>
      </c>
      <c r="K563" s="12" t="s">
        <v>2288</v>
      </c>
      <c r="L563" s="12" t="s">
        <v>2289</v>
      </c>
      <c r="M563" s="11" t="s">
        <v>1809</v>
      </c>
      <c r="N563" s="12" t="s">
        <v>51</v>
      </c>
      <c r="O563" s="11" t="s">
        <v>28</v>
      </c>
      <c r="P563" s="11" t="s">
        <v>52</v>
      </c>
      <c r="Q563" s="12" t="s">
        <v>2183</v>
      </c>
    </row>
    <row r="564" customFormat="false" ht="53.7" hidden="false" customHeight="false" outlineLevel="0" collapsed="false">
      <c r="A564" s="11" t="s">
        <v>2290</v>
      </c>
      <c r="B564" s="11" t="s">
        <v>15</v>
      </c>
      <c r="C564" s="11" t="s">
        <v>2094</v>
      </c>
      <c r="D564" s="12" t="s">
        <v>2291</v>
      </c>
      <c r="E564" s="12" t="s">
        <v>2292</v>
      </c>
      <c r="F564" s="12" t="s">
        <v>2293</v>
      </c>
      <c r="G564" s="11" t="s">
        <v>8</v>
      </c>
      <c r="H564" s="11" t="s">
        <v>8</v>
      </c>
      <c r="I564" s="13" t="n">
        <v>0.275</v>
      </c>
      <c r="J564" s="11" t="s">
        <v>49</v>
      </c>
      <c r="K564" s="12" t="s">
        <v>2294</v>
      </c>
      <c r="L564" s="12" t="s">
        <v>2295</v>
      </c>
      <c r="M564" s="11" t="s">
        <v>1809</v>
      </c>
      <c r="N564" s="12" t="s">
        <v>51</v>
      </c>
      <c r="O564" s="11" t="s">
        <v>28</v>
      </c>
      <c r="P564" s="11" t="s">
        <v>52</v>
      </c>
      <c r="Q564" s="12" t="s">
        <v>2183</v>
      </c>
    </row>
    <row r="565" customFormat="false" ht="53.7" hidden="false" customHeight="false" outlineLevel="0" collapsed="false">
      <c r="A565" s="11" t="s">
        <v>2296</v>
      </c>
      <c r="B565" s="11" t="s">
        <v>15</v>
      </c>
      <c r="C565" s="11" t="s">
        <v>2094</v>
      </c>
      <c r="D565" s="12" t="s">
        <v>2297</v>
      </c>
      <c r="E565" s="12" t="s">
        <v>2298</v>
      </c>
      <c r="F565" s="12" t="s">
        <v>2299</v>
      </c>
      <c r="G565" s="11" t="s">
        <v>2098</v>
      </c>
      <c r="H565" s="11" t="s">
        <v>4</v>
      </c>
      <c r="I565" s="13" t="n">
        <v>0.575</v>
      </c>
      <c r="J565" s="11" t="s">
        <v>49</v>
      </c>
      <c r="K565" s="12" t="s">
        <v>2300</v>
      </c>
      <c r="L565" s="12" t="s">
        <v>2301</v>
      </c>
      <c r="M565" s="11" t="s">
        <v>1643</v>
      </c>
      <c r="N565" s="12" t="s">
        <v>51</v>
      </c>
      <c r="O565" s="11" t="s">
        <v>27</v>
      </c>
      <c r="P565" s="11" t="s">
        <v>52</v>
      </c>
      <c r="Q565" s="12"/>
    </row>
    <row r="566" customFormat="false" ht="43.25" hidden="false" customHeight="false" outlineLevel="0" collapsed="false">
      <c r="A566" s="11" t="s">
        <v>2302</v>
      </c>
      <c r="B566" s="11" t="s">
        <v>15</v>
      </c>
      <c r="C566" s="11" t="s">
        <v>2094</v>
      </c>
      <c r="D566" s="12" t="s">
        <v>880</v>
      </c>
      <c r="E566" s="12" t="s">
        <v>2303</v>
      </c>
      <c r="F566" s="12" t="s">
        <v>880</v>
      </c>
      <c r="G566" s="11" t="s">
        <v>2098</v>
      </c>
      <c r="H566" s="11" t="s">
        <v>4</v>
      </c>
      <c r="I566" s="13" t="n">
        <v>0.757575757575758</v>
      </c>
      <c r="J566" s="11" t="s">
        <v>49</v>
      </c>
      <c r="K566" s="12" t="s">
        <v>2304</v>
      </c>
      <c r="L566" s="12" t="s">
        <v>2305</v>
      </c>
      <c r="M566" s="11" t="s">
        <v>1643</v>
      </c>
      <c r="N566" s="12" t="s">
        <v>51</v>
      </c>
      <c r="O566" s="11" t="s">
        <v>27</v>
      </c>
      <c r="P566" s="11" t="s">
        <v>52</v>
      </c>
      <c r="Q566" s="12"/>
    </row>
    <row r="567" customFormat="false" ht="22.35" hidden="false" customHeight="false" outlineLevel="0" collapsed="false">
      <c r="A567" s="11" t="s">
        <v>2306</v>
      </c>
      <c r="B567" s="11" t="s">
        <v>15</v>
      </c>
      <c r="C567" s="11" t="s">
        <v>2094</v>
      </c>
      <c r="D567" s="12" t="s">
        <v>2307</v>
      </c>
      <c r="E567" s="12" t="s">
        <v>2308</v>
      </c>
      <c r="F567" s="12" t="s">
        <v>2307</v>
      </c>
      <c r="G567" s="11" t="s">
        <v>2098</v>
      </c>
      <c r="H567" s="11" t="s">
        <v>4</v>
      </c>
      <c r="I567" s="13" t="n">
        <v>0.825</v>
      </c>
      <c r="J567" s="11" t="s">
        <v>49</v>
      </c>
      <c r="K567" s="12" t="s">
        <v>2309</v>
      </c>
      <c r="L567" s="12" t="s">
        <v>2310</v>
      </c>
      <c r="M567" s="11" t="s">
        <v>1643</v>
      </c>
      <c r="N567" s="12" t="s">
        <v>51</v>
      </c>
      <c r="O567" s="11" t="s">
        <v>27</v>
      </c>
      <c r="P567" s="11" t="s">
        <v>52</v>
      </c>
      <c r="Q567" s="12"/>
    </row>
    <row r="568" customFormat="false" ht="32.8" hidden="false" customHeight="false" outlineLevel="0" collapsed="false">
      <c r="A568" s="11" t="s">
        <v>2311</v>
      </c>
      <c r="B568" s="11" t="s">
        <v>15</v>
      </c>
      <c r="C568" s="11" t="s">
        <v>2094</v>
      </c>
      <c r="D568" s="12" t="s">
        <v>2046</v>
      </c>
      <c r="E568" s="12" t="s">
        <v>2312</v>
      </c>
      <c r="F568" s="12" t="s">
        <v>2046</v>
      </c>
      <c r="G568" s="11" t="s">
        <v>2098</v>
      </c>
      <c r="H568" s="11" t="s">
        <v>4</v>
      </c>
      <c r="I568" s="13" t="n">
        <v>0.75</v>
      </c>
      <c r="J568" s="11" t="s">
        <v>49</v>
      </c>
      <c r="K568" s="12" t="s">
        <v>2313</v>
      </c>
      <c r="L568" s="12" t="s">
        <v>2314</v>
      </c>
      <c r="M568" s="11" t="s">
        <v>1643</v>
      </c>
      <c r="N568" s="12" t="s">
        <v>51</v>
      </c>
      <c r="O568" s="11" t="s">
        <v>27</v>
      </c>
      <c r="P568" s="11" t="s">
        <v>52</v>
      </c>
      <c r="Q568" s="12"/>
    </row>
    <row r="569" customFormat="false" ht="22.35" hidden="false" customHeight="false" outlineLevel="0" collapsed="false">
      <c r="A569" s="11" t="s">
        <v>2315</v>
      </c>
      <c r="B569" s="11" t="s">
        <v>15</v>
      </c>
      <c r="C569" s="11" t="s">
        <v>2094</v>
      </c>
      <c r="D569" s="12" t="s">
        <v>2316</v>
      </c>
      <c r="E569" s="12" t="s">
        <v>2317</v>
      </c>
      <c r="F569" s="12" t="s">
        <v>2318</v>
      </c>
      <c r="G569" s="11" t="s">
        <v>2098</v>
      </c>
      <c r="H569" s="11" t="s">
        <v>4</v>
      </c>
      <c r="I569" s="13" t="n">
        <v>1</v>
      </c>
      <c r="J569" s="11" t="s">
        <v>49</v>
      </c>
      <c r="K569" s="12" t="s">
        <v>2319</v>
      </c>
      <c r="L569" s="12"/>
      <c r="M569" s="11" t="s">
        <v>1643</v>
      </c>
      <c r="N569" s="12" t="s">
        <v>51</v>
      </c>
      <c r="O569" s="11" t="s">
        <v>27</v>
      </c>
      <c r="P569" s="11" t="s">
        <v>52</v>
      </c>
      <c r="Q569" s="12"/>
    </row>
    <row r="570" customFormat="false" ht="53.7" hidden="false" customHeight="false" outlineLevel="0" collapsed="false">
      <c r="A570" s="11" t="s">
        <v>2320</v>
      </c>
      <c r="B570" s="11" t="s">
        <v>15</v>
      </c>
      <c r="C570" s="11" t="s">
        <v>2094</v>
      </c>
      <c r="D570" s="12" t="s">
        <v>2321</v>
      </c>
      <c r="E570" s="12" t="s">
        <v>2322</v>
      </c>
      <c r="F570" s="12" t="s">
        <v>2323</v>
      </c>
      <c r="G570" s="11" t="s">
        <v>2098</v>
      </c>
      <c r="H570" s="11" t="s">
        <v>5</v>
      </c>
      <c r="I570" s="13" t="n">
        <v>0.5</v>
      </c>
      <c r="J570" s="11" t="s">
        <v>49</v>
      </c>
      <c r="K570" s="12" t="s">
        <v>2324</v>
      </c>
      <c r="L570" s="12" t="s">
        <v>2325</v>
      </c>
      <c r="M570" s="11" t="s">
        <v>1643</v>
      </c>
      <c r="N570" s="12" t="s">
        <v>2326</v>
      </c>
      <c r="O570" s="11" t="s">
        <v>25</v>
      </c>
      <c r="P570" s="11" t="s">
        <v>52</v>
      </c>
      <c r="Q570" s="12"/>
    </row>
    <row r="571" customFormat="false" ht="43.25" hidden="false" customHeight="false" outlineLevel="0" collapsed="false">
      <c r="A571" s="11" t="s">
        <v>2327</v>
      </c>
      <c r="B571" s="11" t="s">
        <v>15</v>
      </c>
      <c r="C571" s="11" t="s">
        <v>2094</v>
      </c>
      <c r="D571" s="12" t="s">
        <v>2328</v>
      </c>
      <c r="E571" s="12" t="s">
        <v>2329</v>
      </c>
      <c r="F571" s="12" t="s">
        <v>2330</v>
      </c>
      <c r="G571" s="11" t="s">
        <v>2098</v>
      </c>
      <c r="H571" s="11" t="s">
        <v>4</v>
      </c>
      <c r="I571" s="13" t="n">
        <v>0.617647058823529</v>
      </c>
      <c r="J571" s="11" t="s">
        <v>49</v>
      </c>
      <c r="K571" s="12" t="s">
        <v>2331</v>
      </c>
      <c r="L571" s="12" t="s">
        <v>2332</v>
      </c>
      <c r="M571" s="11" t="s">
        <v>1643</v>
      </c>
      <c r="N571" s="12" t="s">
        <v>51</v>
      </c>
      <c r="O571" s="11" t="s">
        <v>27</v>
      </c>
      <c r="P571" s="11" t="s">
        <v>52</v>
      </c>
      <c r="Q571" s="12"/>
    </row>
    <row r="572" customFormat="false" ht="43.25" hidden="false" customHeight="false" outlineLevel="0" collapsed="false">
      <c r="A572" s="11" t="s">
        <v>2333</v>
      </c>
      <c r="B572" s="11" t="s">
        <v>15</v>
      </c>
      <c r="C572" s="11" t="s">
        <v>2094</v>
      </c>
      <c r="D572" s="12" t="s">
        <v>2334</v>
      </c>
      <c r="E572" s="12" t="s">
        <v>2335</v>
      </c>
      <c r="F572" s="12" t="s">
        <v>2336</v>
      </c>
      <c r="G572" s="11" t="s">
        <v>2098</v>
      </c>
      <c r="H572" s="11" t="s">
        <v>4</v>
      </c>
      <c r="I572" s="13" t="n">
        <v>0.558823529411765</v>
      </c>
      <c r="J572" s="11" t="s">
        <v>49</v>
      </c>
      <c r="K572" s="12" t="s">
        <v>2337</v>
      </c>
      <c r="L572" s="12" t="s">
        <v>2338</v>
      </c>
      <c r="M572" s="11" t="s">
        <v>1643</v>
      </c>
      <c r="N572" s="12" t="s">
        <v>51</v>
      </c>
      <c r="O572" s="11" t="s">
        <v>27</v>
      </c>
      <c r="P572" s="11" t="s">
        <v>52</v>
      </c>
      <c r="Q572" s="12"/>
    </row>
    <row r="573" customFormat="false" ht="43.25" hidden="false" customHeight="false" outlineLevel="0" collapsed="false">
      <c r="A573" s="11" t="s">
        <v>2339</v>
      </c>
      <c r="B573" s="11" t="s">
        <v>15</v>
      </c>
      <c r="C573" s="11" t="s">
        <v>2094</v>
      </c>
      <c r="D573" s="12" t="s">
        <v>2340</v>
      </c>
      <c r="E573" s="12" t="s">
        <v>2341</v>
      </c>
      <c r="F573" s="12" t="s">
        <v>2342</v>
      </c>
      <c r="G573" s="11" t="s">
        <v>2098</v>
      </c>
      <c r="H573" s="11" t="s">
        <v>6</v>
      </c>
      <c r="I573" s="13" t="n">
        <v>0.236842105263158</v>
      </c>
      <c r="J573" s="11" t="s">
        <v>49</v>
      </c>
      <c r="K573" s="12" t="s">
        <v>2343</v>
      </c>
      <c r="L573" s="12" t="s">
        <v>2344</v>
      </c>
      <c r="M573" s="11" t="s">
        <v>1643</v>
      </c>
      <c r="N573" s="12" t="s">
        <v>2345</v>
      </c>
      <c r="O573" s="11" t="s">
        <v>25</v>
      </c>
      <c r="P573" s="11" t="s">
        <v>52</v>
      </c>
      <c r="Q573" s="12"/>
    </row>
    <row r="574" customFormat="false" ht="22.35" hidden="false" customHeight="false" outlineLevel="0" collapsed="false">
      <c r="A574" s="11" t="s">
        <v>2346</v>
      </c>
      <c r="B574" s="11" t="s">
        <v>15</v>
      </c>
      <c r="C574" s="11" t="s">
        <v>2094</v>
      </c>
      <c r="D574" s="12" t="s">
        <v>2347</v>
      </c>
      <c r="E574" s="12" t="s">
        <v>2348</v>
      </c>
      <c r="F574" s="12" t="s">
        <v>2347</v>
      </c>
      <c r="G574" s="11" t="s">
        <v>2098</v>
      </c>
      <c r="H574" s="11" t="s">
        <v>4</v>
      </c>
      <c r="I574" s="13" t="n">
        <v>0.8</v>
      </c>
      <c r="J574" s="11" t="s">
        <v>49</v>
      </c>
      <c r="K574" s="12" t="s">
        <v>2349</v>
      </c>
      <c r="L574" s="12" t="s">
        <v>2350</v>
      </c>
      <c r="M574" s="11" t="s">
        <v>1643</v>
      </c>
      <c r="N574" s="12" t="s">
        <v>51</v>
      </c>
      <c r="O574" s="11" t="s">
        <v>27</v>
      </c>
      <c r="P574" s="11" t="s">
        <v>52</v>
      </c>
      <c r="Q574" s="12"/>
    </row>
    <row r="575" customFormat="false" ht="53.7" hidden="false" customHeight="false" outlineLevel="0" collapsed="false">
      <c r="A575" s="11" t="s">
        <v>2351</v>
      </c>
      <c r="B575" s="11" t="s">
        <v>15</v>
      </c>
      <c r="C575" s="11" t="s">
        <v>2094</v>
      </c>
      <c r="D575" s="12" t="s">
        <v>2352</v>
      </c>
      <c r="E575" s="12" t="s">
        <v>2353</v>
      </c>
      <c r="F575" s="12" t="s">
        <v>1857</v>
      </c>
      <c r="G575" s="11" t="s">
        <v>2098</v>
      </c>
      <c r="H575" s="11" t="s">
        <v>5</v>
      </c>
      <c r="I575" s="13" t="n">
        <v>0.5</v>
      </c>
      <c r="J575" s="11" t="s">
        <v>49</v>
      </c>
      <c r="K575" s="12" t="s">
        <v>2354</v>
      </c>
      <c r="L575" s="12" t="s">
        <v>2355</v>
      </c>
      <c r="M575" s="11" t="s">
        <v>1643</v>
      </c>
      <c r="N575" s="12" t="s">
        <v>2356</v>
      </c>
      <c r="O575" s="11" t="s">
        <v>25</v>
      </c>
      <c r="P575" s="11" t="s">
        <v>52</v>
      </c>
      <c r="Q575" s="12"/>
    </row>
    <row r="576" customFormat="false" ht="53.7" hidden="false" customHeight="false" outlineLevel="0" collapsed="false">
      <c r="A576" s="11" t="s">
        <v>2357</v>
      </c>
      <c r="B576" s="11" t="s">
        <v>15</v>
      </c>
      <c r="C576" s="11" t="s">
        <v>2094</v>
      </c>
      <c r="D576" s="12" t="s">
        <v>2358</v>
      </c>
      <c r="E576" s="12" t="s">
        <v>2359</v>
      </c>
      <c r="F576" s="12" t="s">
        <v>2360</v>
      </c>
      <c r="G576" s="11" t="s">
        <v>2098</v>
      </c>
      <c r="H576" s="11" t="s">
        <v>5</v>
      </c>
      <c r="I576" s="13" t="n">
        <v>0.475</v>
      </c>
      <c r="J576" s="11" t="s">
        <v>49</v>
      </c>
      <c r="K576" s="12" t="s">
        <v>2361</v>
      </c>
      <c r="L576" s="12" t="s">
        <v>2362</v>
      </c>
      <c r="M576" s="11" t="s">
        <v>1643</v>
      </c>
      <c r="N576" s="12" t="s">
        <v>2356</v>
      </c>
      <c r="O576" s="11" t="s">
        <v>25</v>
      </c>
      <c r="P576" s="11" t="s">
        <v>52</v>
      </c>
      <c r="Q576" s="12"/>
    </row>
    <row r="577" customFormat="false" ht="22.35" hidden="false" customHeight="false" outlineLevel="0" collapsed="false">
      <c r="A577" s="11" t="s">
        <v>2363</v>
      </c>
      <c r="B577" s="11" t="s">
        <v>15</v>
      </c>
      <c r="C577" s="11" t="s">
        <v>2094</v>
      </c>
      <c r="D577" s="12" t="s">
        <v>2364</v>
      </c>
      <c r="E577" s="12" t="s">
        <v>2365</v>
      </c>
      <c r="F577" s="12" t="s">
        <v>2000</v>
      </c>
      <c r="G577" s="11" t="s">
        <v>2098</v>
      </c>
      <c r="H577" s="11" t="s">
        <v>4</v>
      </c>
      <c r="I577" s="13" t="n">
        <v>0.625</v>
      </c>
      <c r="J577" s="11" t="s">
        <v>49</v>
      </c>
      <c r="K577" s="12" t="s">
        <v>2366</v>
      </c>
      <c r="L577" s="12" t="s">
        <v>2367</v>
      </c>
      <c r="M577" s="11" t="s">
        <v>1643</v>
      </c>
      <c r="N577" s="12" t="s">
        <v>51</v>
      </c>
      <c r="O577" s="11" t="s">
        <v>27</v>
      </c>
      <c r="P577" s="11" t="s">
        <v>52</v>
      </c>
      <c r="Q577" s="12"/>
    </row>
    <row r="578" customFormat="false" ht="32.8" hidden="false" customHeight="false" outlineLevel="0" collapsed="false">
      <c r="A578" s="11" t="s">
        <v>2368</v>
      </c>
      <c r="B578" s="11" t="s">
        <v>15</v>
      </c>
      <c r="C578" s="11" t="s">
        <v>2094</v>
      </c>
      <c r="D578" s="12" t="s">
        <v>2369</v>
      </c>
      <c r="E578" s="12" t="s">
        <v>2370</v>
      </c>
      <c r="F578" s="12" t="s">
        <v>2371</v>
      </c>
      <c r="G578" s="11" t="s">
        <v>2098</v>
      </c>
      <c r="H578" s="11" t="s">
        <v>5</v>
      </c>
      <c r="I578" s="13" t="n">
        <v>0.533333333333333</v>
      </c>
      <c r="J578" s="11" t="s">
        <v>49</v>
      </c>
      <c r="K578" s="12" t="s">
        <v>2372</v>
      </c>
      <c r="L578" s="12" t="s">
        <v>2373</v>
      </c>
      <c r="M578" s="11" t="s">
        <v>1643</v>
      </c>
      <c r="N578" s="12" t="s">
        <v>2356</v>
      </c>
      <c r="O578" s="11" t="s">
        <v>25</v>
      </c>
      <c r="P578" s="11" t="s">
        <v>52</v>
      </c>
      <c r="Q578" s="12"/>
    </row>
    <row r="579" customFormat="false" ht="43.25" hidden="false" customHeight="false" outlineLevel="0" collapsed="false">
      <c r="A579" s="11" t="s">
        <v>2374</v>
      </c>
      <c r="B579" s="11" t="s">
        <v>15</v>
      </c>
      <c r="C579" s="11" t="s">
        <v>2094</v>
      </c>
      <c r="D579" s="12" t="s">
        <v>2375</v>
      </c>
      <c r="E579" s="12" t="s">
        <v>2376</v>
      </c>
      <c r="F579" s="12" t="s">
        <v>2377</v>
      </c>
      <c r="G579" s="11" t="s">
        <v>2098</v>
      </c>
      <c r="H579" s="11" t="s">
        <v>5</v>
      </c>
      <c r="I579" s="13" t="n">
        <v>0.433333333333333</v>
      </c>
      <c r="J579" s="11" t="s">
        <v>49</v>
      </c>
      <c r="K579" s="12" t="s">
        <v>2378</v>
      </c>
      <c r="L579" s="12" t="s">
        <v>2379</v>
      </c>
      <c r="M579" s="11" t="s">
        <v>1643</v>
      </c>
      <c r="N579" s="12" t="s">
        <v>2356</v>
      </c>
      <c r="O579" s="11" t="s">
        <v>25</v>
      </c>
      <c r="P579" s="11" t="s">
        <v>52</v>
      </c>
      <c r="Q579" s="12"/>
    </row>
    <row r="580" customFormat="false" ht="15" hidden="false" customHeight="false" outlineLevel="0" collapsed="false">
      <c r="A580" s="11" t="s">
        <v>2380</v>
      </c>
      <c r="B580" s="11" t="s">
        <v>15</v>
      </c>
      <c r="C580" s="11" t="s">
        <v>2094</v>
      </c>
      <c r="D580" s="12" t="s">
        <v>2381</v>
      </c>
      <c r="E580" s="12" t="s">
        <v>2382</v>
      </c>
      <c r="F580" s="12" t="s">
        <v>2381</v>
      </c>
      <c r="G580" s="11" t="s">
        <v>2098</v>
      </c>
      <c r="H580" s="11" t="s">
        <v>9</v>
      </c>
      <c r="I580" s="13"/>
      <c r="J580" s="11" t="s">
        <v>49</v>
      </c>
      <c r="K580" s="12"/>
      <c r="L580" s="12"/>
      <c r="M580" s="11" t="s">
        <v>1643</v>
      </c>
      <c r="N580" s="12" t="s">
        <v>51</v>
      </c>
      <c r="O580" s="11" t="s">
        <v>28</v>
      </c>
      <c r="P580" s="11" t="s">
        <v>52</v>
      </c>
      <c r="Q580" s="12" t="s">
        <v>60</v>
      </c>
    </row>
    <row r="581" customFormat="false" ht="15" hidden="false" customHeight="false" outlineLevel="0" collapsed="false">
      <c r="A581" s="11" t="s">
        <v>2383</v>
      </c>
      <c r="B581" s="11" t="s">
        <v>15</v>
      </c>
      <c r="C581" s="11" t="s">
        <v>2094</v>
      </c>
      <c r="D581" s="12" t="s">
        <v>2384</v>
      </c>
      <c r="E581" s="12" t="s">
        <v>2385</v>
      </c>
      <c r="F581" s="12" t="s">
        <v>2384</v>
      </c>
      <c r="G581" s="11" t="s">
        <v>8</v>
      </c>
      <c r="H581" s="11" t="s">
        <v>8</v>
      </c>
      <c r="I581" s="13" t="n">
        <v>1</v>
      </c>
      <c r="J581" s="11" t="s">
        <v>49</v>
      </c>
      <c r="K581" s="12"/>
      <c r="L581" s="12"/>
      <c r="M581" s="11" t="s">
        <v>1809</v>
      </c>
      <c r="N581" s="12" t="s">
        <v>51</v>
      </c>
      <c r="O581" s="11" t="s">
        <v>28</v>
      </c>
      <c r="P581" s="11" t="s">
        <v>52</v>
      </c>
      <c r="Q581" s="12" t="s">
        <v>2183</v>
      </c>
    </row>
    <row r="582" customFormat="false" ht="22.35" hidden="false" customHeight="false" outlineLevel="0" collapsed="false">
      <c r="A582" s="11" t="s">
        <v>2386</v>
      </c>
      <c r="B582" s="11" t="s">
        <v>15</v>
      </c>
      <c r="C582" s="11" t="s">
        <v>2094</v>
      </c>
      <c r="D582" s="12" t="s">
        <v>2387</v>
      </c>
      <c r="E582" s="12" t="s">
        <v>2388</v>
      </c>
      <c r="F582" s="12" t="s">
        <v>2389</v>
      </c>
      <c r="G582" s="11" t="s">
        <v>2098</v>
      </c>
      <c r="H582" s="11" t="s">
        <v>9</v>
      </c>
      <c r="I582" s="13"/>
      <c r="J582" s="11" t="s">
        <v>49</v>
      </c>
      <c r="K582" s="12"/>
      <c r="L582" s="12"/>
      <c r="M582" s="11" t="s">
        <v>1643</v>
      </c>
      <c r="N582" s="12" t="s">
        <v>51</v>
      </c>
      <c r="O582" s="11" t="s">
        <v>28</v>
      </c>
      <c r="P582" s="11" t="s">
        <v>52</v>
      </c>
      <c r="Q582" s="12" t="s">
        <v>60</v>
      </c>
    </row>
    <row r="583" customFormat="false" ht="43.25" hidden="false" customHeight="false" outlineLevel="0" collapsed="false">
      <c r="A583" s="11" t="s">
        <v>2390</v>
      </c>
      <c r="B583" s="11" t="s">
        <v>15</v>
      </c>
      <c r="C583" s="11" t="s">
        <v>2094</v>
      </c>
      <c r="D583" s="12" t="s">
        <v>2391</v>
      </c>
      <c r="E583" s="12" t="s">
        <v>2392</v>
      </c>
      <c r="F583" s="12" t="s">
        <v>2393</v>
      </c>
      <c r="G583" s="11" t="s">
        <v>2098</v>
      </c>
      <c r="H583" s="11" t="s">
        <v>4</v>
      </c>
      <c r="I583" s="13" t="n">
        <v>0.55</v>
      </c>
      <c r="J583" s="11" t="s">
        <v>49</v>
      </c>
      <c r="K583" s="12" t="s">
        <v>2394</v>
      </c>
      <c r="L583" s="12" t="s">
        <v>2395</v>
      </c>
      <c r="M583" s="11" t="s">
        <v>1643</v>
      </c>
      <c r="N583" s="12" t="s">
        <v>51</v>
      </c>
      <c r="O583" s="11" t="s">
        <v>27</v>
      </c>
      <c r="P583" s="11" t="s">
        <v>52</v>
      </c>
      <c r="Q583" s="12"/>
    </row>
    <row r="584" customFormat="false" ht="64.15" hidden="false" customHeight="false" outlineLevel="0" collapsed="false">
      <c r="A584" s="11" t="s">
        <v>2396</v>
      </c>
      <c r="B584" s="11" t="s">
        <v>15</v>
      </c>
      <c r="C584" s="11" t="s">
        <v>2094</v>
      </c>
      <c r="D584" s="12" t="s">
        <v>2397</v>
      </c>
      <c r="E584" s="12" t="s">
        <v>2398</v>
      </c>
      <c r="F584" s="12" t="s">
        <v>2399</v>
      </c>
      <c r="G584" s="11" t="s">
        <v>2098</v>
      </c>
      <c r="H584" s="11" t="s">
        <v>5</v>
      </c>
      <c r="I584" s="13" t="n">
        <v>0.375</v>
      </c>
      <c r="J584" s="11" t="s">
        <v>49</v>
      </c>
      <c r="K584" s="12" t="s">
        <v>2400</v>
      </c>
      <c r="L584" s="12" t="s">
        <v>2401</v>
      </c>
      <c r="M584" s="11" t="s">
        <v>1643</v>
      </c>
      <c r="N584" s="12" t="s">
        <v>2402</v>
      </c>
      <c r="O584" s="11" t="s">
        <v>25</v>
      </c>
      <c r="P584" s="11" t="s">
        <v>52</v>
      </c>
      <c r="Q584" s="12"/>
    </row>
    <row r="585" customFormat="false" ht="64.15" hidden="false" customHeight="false" outlineLevel="0" collapsed="false">
      <c r="A585" s="11" t="s">
        <v>2403</v>
      </c>
      <c r="B585" s="11" t="s">
        <v>15</v>
      </c>
      <c r="C585" s="11" t="s">
        <v>2094</v>
      </c>
      <c r="D585" s="12" t="s">
        <v>2404</v>
      </c>
      <c r="E585" s="12" t="s">
        <v>2405</v>
      </c>
      <c r="F585" s="12" t="s">
        <v>2406</v>
      </c>
      <c r="G585" s="11" t="s">
        <v>2098</v>
      </c>
      <c r="H585" s="11" t="s">
        <v>5</v>
      </c>
      <c r="I585" s="13" t="n">
        <v>0.35</v>
      </c>
      <c r="J585" s="11" t="s">
        <v>49</v>
      </c>
      <c r="K585" s="12" t="s">
        <v>2407</v>
      </c>
      <c r="L585" s="12" t="s">
        <v>2408</v>
      </c>
      <c r="M585" s="11" t="s">
        <v>1643</v>
      </c>
      <c r="N585" s="12" t="s">
        <v>2402</v>
      </c>
      <c r="O585" s="11" t="s">
        <v>25</v>
      </c>
      <c r="P585" s="11" t="s">
        <v>52</v>
      </c>
      <c r="Q585" s="12"/>
    </row>
    <row r="586" customFormat="false" ht="22.35" hidden="false" customHeight="false" outlineLevel="0" collapsed="false">
      <c r="A586" s="11" t="s">
        <v>2409</v>
      </c>
      <c r="B586" s="11" t="s">
        <v>15</v>
      </c>
      <c r="C586" s="11" t="s">
        <v>2094</v>
      </c>
      <c r="D586" s="12" t="s">
        <v>2410</v>
      </c>
      <c r="E586" s="12" t="s">
        <v>2411</v>
      </c>
      <c r="F586" s="12" t="s">
        <v>2412</v>
      </c>
      <c r="G586" s="11" t="s">
        <v>2098</v>
      </c>
      <c r="H586" s="11" t="s">
        <v>4</v>
      </c>
      <c r="I586" s="13" t="n">
        <v>0.75</v>
      </c>
      <c r="J586" s="11" t="s">
        <v>49</v>
      </c>
      <c r="K586" s="12" t="s">
        <v>2413</v>
      </c>
      <c r="L586" s="12" t="s">
        <v>2414</v>
      </c>
      <c r="M586" s="11" t="s">
        <v>1643</v>
      </c>
      <c r="N586" s="12" t="s">
        <v>51</v>
      </c>
      <c r="O586" s="11" t="s">
        <v>27</v>
      </c>
      <c r="P586" s="11" t="s">
        <v>52</v>
      </c>
      <c r="Q586" s="12"/>
    </row>
    <row r="587" customFormat="false" ht="22.35" hidden="false" customHeight="false" outlineLevel="0" collapsed="false">
      <c r="A587" s="11" t="s">
        <v>2415</v>
      </c>
      <c r="B587" s="11" t="s">
        <v>15</v>
      </c>
      <c r="C587" s="11" t="s">
        <v>2094</v>
      </c>
      <c r="D587" s="12" t="s">
        <v>2416</v>
      </c>
      <c r="E587" s="12" t="s">
        <v>2417</v>
      </c>
      <c r="F587" s="12" t="s">
        <v>2416</v>
      </c>
      <c r="G587" s="11" t="s">
        <v>2098</v>
      </c>
      <c r="H587" s="11" t="s">
        <v>4</v>
      </c>
      <c r="I587" s="13" t="n">
        <v>0.727272727272727</v>
      </c>
      <c r="J587" s="11" t="s">
        <v>49</v>
      </c>
      <c r="K587" s="12" t="s">
        <v>2418</v>
      </c>
      <c r="L587" s="12" t="s">
        <v>2419</v>
      </c>
      <c r="M587" s="11" t="s">
        <v>1643</v>
      </c>
      <c r="N587" s="12" t="s">
        <v>51</v>
      </c>
      <c r="O587" s="11" t="s">
        <v>27</v>
      </c>
      <c r="P587" s="11" t="s">
        <v>52</v>
      </c>
      <c r="Q587" s="12"/>
    </row>
    <row r="588" customFormat="false" ht="22.35" hidden="false" customHeight="false" outlineLevel="0" collapsed="false">
      <c r="A588" s="11" t="s">
        <v>2420</v>
      </c>
      <c r="B588" s="11" t="s">
        <v>15</v>
      </c>
      <c r="C588" s="11" t="s">
        <v>2421</v>
      </c>
      <c r="D588" s="12" t="s">
        <v>2422</v>
      </c>
      <c r="E588" s="12" t="s">
        <v>2423</v>
      </c>
      <c r="F588" s="12" t="s">
        <v>2424</v>
      </c>
      <c r="G588" s="11" t="s">
        <v>2425</v>
      </c>
      <c r="H588" s="11" t="s">
        <v>10</v>
      </c>
      <c r="I588" s="13" t="n">
        <v>0.545454545454545</v>
      </c>
      <c r="J588" s="11" t="s">
        <v>49</v>
      </c>
      <c r="K588" s="12" t="s">
        <v>2426</v>
      </c>
      <c r="L588" s="12" t="s">
        <v>2427</v>
      </c>
      <c r="M588" s="11" t="s">
        <v>1809</v>
      </c>
      <c r="N588" s="12" t="s">
        <v>51</v>
      </c>
      <c r="O588" s="11" t="s">
        <v>28</v>
      </c>
      <c r="P588" s="11" t="s">
        <v>52</v>
      </c>
      <c r="Q588" s="12" t="s">
        <v>1910</v>
      </c>
    </row>
    <row r="589" customFormat="false" ht="22.35" hidden="false" customHeight="false" outlineLevel="0" collapsed="false">
      <c r="A589" s="11" t="s">
        <v>2428</v>
      </c>
      <c r="B589" s="11" t="s">
        <v>15</v>
      </c>
      <c r="C589" s="11" t="s">
        <v>2421</v>
      </c>
      <c r="D589" s="12" t="s">
        <v>2429</v>
      </c>
      <c r="E589" s="12" t="s">
        <v>2430</v>
      </c>
      <c r="F589" s="12" t="s">
        <v>2429</v>
      </c>
      <c r="G589" s="11" t="s">
        <v>2425</v>
      </c>
      <c r="H589" s="11" t="s">
        <v>10</v>
      </c>
      <c r="I589" s="13"/>
      <c r="J589" s="11" t="s">
        <v>49</v>
      </c>
      <c r="K589" s="12"/>
      <c r="L589" s="12"/>
      <c r="M589" s="11" t="s">
        <v>1809</v>
      </c>
      <c r="N589" s="12" t="s">
        <v>51</v>
      </c>
      <c r="O589" s="11" t="s">
        <v>28</v>
      </c>
      <c r="P589" s="11" t="s">
        <v>52</v>
      </c>
      <c r="Q589" s="12" t="s">
        <v>1910</v>
      </c>
    </row>
    <row r="590" customFormat="false" ht="43.25" hidden="false" customHeight="false" outlineLevel="0" collapsed="false">
      <c r="A590" s="11" t="s">
        <v>2431</v>
      </c>
      <c r="B590" s="11" t="s">
        <v>15</v>
      </c>
      <c r="C590" s="11" t="s">
        <v>2421</v>
      </c>
      <c r="D590" s="12" t="s">
        <v>2432</v>
      </c>
      <c r="E590" s="12" t="s">
        <v>2433</v>
      </c>
      <c r="F590" s="12" t="s">
        <v>2106</v>
      </c>
      <c r="G590" s="11" t="s">
        <v>2425</v>
      </c>
      <c r="H590" s="11" t="s">
        <v>10</v>
      </c>
      <c r="I590" s="13" t="n">
        <v>0.65</v>
      </c>
      <c r="J590" s="11" t="s">
        <v>49</v>
      </c>
      <c r="K590" s="12" t="s">
        <v>2434</v>
      </c>
      <c r="L590" s="12" t="s">
        <v>2435</v>
      </c>
      <c r="M590" s="11" t="s">
        <v>1809</v>
      </c>
      <c r="N590" s="12" t="s">
        <v>51</v>
      </c>
      <c r="O590" s="11" t="s">
        <v>28</v>
      </c>
      <c r="P590" s="11" t="s">
        <v>52</v>
      </c>
      <c r="Q590" s="12" t="s">
        <v>1910</v>
      </c>
    </row>
    <row r="591" customFormat="false" ht="32.8" hidden="false" customHeight="false" outlineLevel="0" collapsed="false">
      <c r="A591" s="11" t="s">
        <v>2436</v>
      </c>
      <c r="B591" s="11" t="s">
        <v>15</v>
      </c>
      <c r="C591" s="11" t="s">
        <v>2421</v>
      </c>
      <c r="D591" s="12" t="s">
        <v>2437</v>
      </c>
      <c r="E591" s="12" t="s">
        <v>2438</v>
      </c>
      <c r="F591" s="12" t="s">
        <v>2437</v>
      </c>
      <c r="G591" s="11" t="s">
        <v>2425</v>
      </c>
      <c r="H591" s="11" t="s">
        <v>10</v>
      </c>
      <c r="I591" s="13" t="n">
        <v>0.636363636363636</v>
      </c>
      <c r="J591" s="11" t="s">
        <v>49</v>
      </c>
      <c r="K591" s="12" t="s">
        <v>2439</v>
      </c>
      <c r="L591" s="12" t="s">
        <v>2440</v>
      </c>
      <c r="M591" s="11" t="s">
        <v>1809</v>
      </c>
      <c r="N591" s="12" t="s">
        <v>51</v>
      </c>
      <c r="O591" s="11" t="s">
        <v>28</v>
      </c>
      <c r="P591" s="11" t="s">
        <v>52</v>
      </c>
      <c r="Q591" s="12" t="s">
        <v>1910</v>
      </c>
    </row>
    <row r="592" customFormat="false" ht="43.25" hidden="false" customHeight="false" outlineLevel="0" collapsed="false">
      <c r="A592" s="11" t="s">
        <v>2441</v>
      </c>
      <c r="B592" s="11" t="s">
        <v>15</v>
      </c>
      <c r="C592" s="11" t="s">
        <v>2421</v>
      </c>
      <c r="D592" s="12" t="s">
        <v>2442</v>
      </c>
      <c r="E592" s="12" t="s">
        <v>2443</v>
      </c>
      <c r="F592" s="12" t="s">
        <v>2444</v>
      </c>
      <c r="G592" s="11" t="s">
        <v>2425</v>
      </c>
      <c r="H592" s="11" t="s">
        <v>10</v>
      </c>
      <c r="I592" s="13" t="n">
        <v>0.325</v>
      </c>
      <c r="J592" s="11" t="s">
        <v>49</v>
      </c>
      <c r="K592" s="12" t="s">
        <v>2445</v>
      </c>
      <c r="L592" s="12" t="s">
        <v>2446</v>
      </c>
      <c r="M592" s="11" t="s">
        <v>1809</v>
      </c>
      <c r="N592" s="12" t="s">
        <v>51</v>
      </c>
      <c r="O592" s="11" t="s">
        <v>28</v>
      </c>
      <c r="P592" s="11" t="s">
        <v>52</v>
      </c>
      <c r="Q592" s="12" t="s">
        <v>1910</v>
      </c>
    </row>
    <row r="593" customFormat="false" ht="43.25" hidden="false" customHeight="false" outlineLevel="0" collapsed="false">
      <c r="A593" s="11" t="s">
        <v>2447</v>
      </c>
      <c r="B593" s="11" t="s">
        <v>15</v>
      </c>
      <c r="C593" s="11" t="s">
        <v>2421</v>
      </c>
      <c r="D593" s="12" t="s">
        <v>2448</v>
      </c>
      <c r="E593" s="12" t="s">
        <v>2449</v>
      </c>
      <c r="F593" s="12" t="s">
        <v>2448</v>
      </c>
      <c r="G593" s="11" t="s">
        <v>2425</v>
      </c>
      <c r="H593" s="11" t="s">
        <v>10</v>
      </c>
      <c r="I593" s="13" t="n">
        <v>0.25</v>
      </c>
      <c r="J593" s="11" t="s">
        <v>49</v>
      </c>
      <c r="K593" s="12" t="s">
        <v>2450</v>
      </c>
      <c r="L593" s="12" t="s">
        <v>2451</v>
      </c>
      <c r="M593" s="11" t="s">
        <v>1809</v>
      </c>
      <c r="N593" s="12" t="s">
        <v>51</v>
      </c>
      <c r="O593" s="11" t="s">
        <v>28</v>
      </c>
      <c r="P593" s="11" t="s">
        <v>52</v>
      </c>
      <c r="Q593" s="12" t="s">
        <v>1910</v>
      </c>
    </row>
    <row r="594" customFormat="false" ht="32.8" hidden="false" customHeight="false" outlineLevel="0" collapsed="false">
      <c r="A594" s="11" t="s">
        <v>2452</v>
      </c>
      <c r="B594" s="11" t="s">
        <v>15</v>
      </c>
      <c r="C594" s="11" t="s">
        <v>2421</v>
      </c>
      <c r="D594" s="12" t="s">
        <v>2453</v>
      </c>
      <c r="E594" s="12" t="s">
        <v>2454</v>
      </c>
      <c r="F594" s="12" t="s">
        <v>2455</v>
      </c>
      <c r="G594" s="11" t="s">
        <v>2425</v>
      </c>
      <c r="H594" s="11" t="s">
        <v>10</v>
      </c>
      <c r="I594" s="13" t="n">
        <v>0.666666666666667</v>
      </c>
      <c r="J594" s="11" t="s">
        <v>49</v>
      </c>
      <c r="K594" s="12" t="s">
        <v>2456</v>
      </c>
      <c r="L594" s="12" t="s">
        <v>2457</v>
      </c>
      <c r="M594" s="11" t="s">
        <v>1809</v>
      </c>
      <c r="N594" s="12" t="s">
        <v>51</v>
      </c>
      <c r="O594" s="11" t="s">
        <v>28</v>
      </c>
      <c r="P594" s="11" t="s">
        <v>52</v>
      </c>
      <c r="Q594" s="12" t="s">
        <v>1910</v>
      </c>
    </row>
    <row r="595" customFormat="false" ht="43.25" hidden="false" customHeight="false" outlineLevel="0" collapsed="false">
      <c r="A595" s="11" t="s">
        <v>2458</v>
      </c>
      <c r="B595" s="11" t="s">
        <v>15</v>
      </c>
      <c r="C595" s="11" t="s">
        <v>2421</v>
      </c>
      <c r="D595" s="12" t="s">
        <v>2459</v>
      </c>
      <c r="E595" s="12" t="s">
        <v>2460</v>
      </c>
      <c r="F595" s="12" t="s">
        <v>2461</v>
      </c>
      <c r="G595" s="11" t="s">
        <v>2425</v>
      </c>
      <c r="H595" s="11" t="s">
        <v>10</v>
      </c>
      <c r="I595" s="13" t="n">
        <v>0.15</v>
      </c>
      <c r="J595" s="11" t="s">
        <v>49</v>
      </c>
      <c r="K595" s="12" t="s">
        <v>2462</v>
      </c>
      <c r="L595" s="12" t="s">
        <v>2463</v>
      </c>
      <c r="M595" s="11" t="s">
        <v>1809</v>
      </c>
      <c r="N595" s="12" t="s">
        <v>51</v>
      </c>
      <c r="O595" s="11" t="s">
        <v>28</v>
      </c>
      <c r="P595" s="11" t="s">
        <v>52</v>
      </c>
      <c r="Q595" s="12" t="s">
        <v>1910</v>
      </c>
    </row>
    <row r="596" customFormat="false" ht="43.25" hidden="false" customHeight="false" outlineLevel="0" collapsed="false">
      <c r="A596" s="11" t="s">
        <v>2464</v>
      </c>
      <c r="B596" s="11" t="s">
        <v>15</v>
      </c>
      <c r="C596" s="11" t="s">
        <v>2421</v>
      </c>
      <c r="D596" s="12" t="s">
        <v>2465</v>
      </c>
      <c r="E596" s="12" t="s">
        <v>2466</v>
      </c>
      <c r="F596" s="12" t="s">
        <v>2467</v>
      </c>
      <c r="G596" s="11" t="s">
        <v>2425</v>
      </c>
      <c r="H596" s="11" t="s">
        <v>10</v>
      </c>
      <c r="I596" s="13" t="n">
        <v>0.4</v>
      </c>
      <c r="J596" s="11" t="s">
        <v>49</v>
      </c>
      <c r="K596" s="12" t="s">
        <v>2468</v>
      </c>
      <c r="L596" s="12" t="s">
        <v>2469</v>
      </c>
      <c r="M596" s="11" t="s">
        <v>1809</v>
      </c>
      <c r="N596" s="12" t="s">
        <v>51</v>
      </c>
      <c r="O596" s="11" t="s">
        <v>28</v>
      </c>
      <c r="P596" s="11" t="s">
        <v>52</v>
      </c>
      <c r="Q596" s="12" t="s">
        <v>1910</v>
      </c>
    </row>
    <row r="597" customFormat="false" ht="32.8" hidden="false" customHeight="false" outlineLevel="0" collapsed="false">
      <c r="A597" s="11" t="s">
        <v>2470</v>
      </c>
      <c r="B597" s="11" t="s">
        <v>15</v>
      </c>
      <c r="C597" s="11" t="s">
        <v>2421</v>
      </c>
      <c r="D597" s="12" t="s">
        <v>2471</v>
      </c>
      <c r="E597" s="12" t="s">
        <v>2472</v>
      </c>
      <c r="F597" s="12" t="s">
        <v>2473</v>
      </c>
      <c r="G597" s="11" t="s">
        <v>2425</v>
      </c>
      <c r="H597" s="11" t="s">
        <v>10</v>
      </c>
      <c r="I597" s="13" t="n">
        <v>0.225</v>
      </c>
      <c r="J597" s="11" t="s">
        <v>49</v>
      </c>
      <c r="K597" s="12" t="s">
        <v>2474</v>
      </c>
      <c r="L597" s="12" t="s">
        <v>2475</v>
      </c>
      <c r="M597" s="11" t="s">
        <v>1809</v>
      </c>
      <c r="N597" s="12" t="s">
        <v>51</v>
      </c>
      <c r="O597" s="11" t="s">
        <v>28</v>
      </c>
      <c r="P597" s="11" t="s">
        <v>52</v>
      </c>
      <c r="Q597" s="12" t="s">
        <v>1910</v>
      </c>
    </row>
    <row r="598" customFormat="false" ht="53.7" hidden="false" customHeight="false" outlineLevel="0" collapsed="false">
      <c r="A598" s="11" t="s">
        <v>2476</v>
      </c>
      <c r="B598" s="11" t="s">
        <v>15</v>
      </c>
      <c r="C598" s="11" t="s">
        <v>2421</v>
      </c>
      <c r="D598" s="12" t="s">
        <v>2477</v>
      </c>
      <c r="E598" s="12" t="s">
        <v>2478</v>
      </c>
      <c r="F598" s="12" t="s">
        <v>2479</v>
      </c>
      <c r="G598" s="11" t="s">
        <v>2425</v>
      </c>
      <c r="H598" s="11" t="s">
        <v>10</v>
      </c>
      <c r="I598" s="13" t="n">
        <v>0.7</v>
      </c>
      <c r="J598" s="11" t="s">
        <v>49</v>
      </c>
      <c r="K598" s="12" t="s">
        <v>2480</v>
      </c>
      <c r="L598" s="12" t="s">
        <v>2481</v>
      </c>
      <c r="M598" s="11" t="s">
        <v>1809</v>
      </c>
      <c r="N598" s="12" t="s">
        <v>51</v>
      </c>
      <c r="O598" s="11" t="s">
        <v>28</v>
      </c>
      <c r="P598" s="11" t="s">
        <v>52</v>
      </c>
      <c r="Q598" s="12" t="s">
        <v>1910</v>
      </c>
    </row>
    <row r="599" customFormat="false" ht="32.8" hidden="false" customHeight="false" outlineLevel="0" collapsed="false">
      <c r="A599" s="11" t="s">
        <v>2482</v>
      </c>
      <c r="B599" s="11" t="s">
        <v>15</v>
      </c>
      <c r="C599" s="11" t="s">
        <v>2421</v>
      </c>
      <c r="D599" s="12" t="s">
        <v>2483</v>
      </c>
      <c r="E599" s="12" t="s">
        <v>2484</v>
      </c>
      <c r="F599" s="12" t="s">
        <v>2149</v>
      </c>
      <c r="G599" s="11" t="s">
        <v>2425</v>
      </c>
      <c r="H599" s="11" t="s">
        <v>10</v>
      </c>
      <c r="I599" s="13" t="n">
        <v>0.3</v>
      </c>
      <c r="J599" s="11" t="s">
        <v>49</v>
      </c>
      <c r="K599" s="12" t="s">
        <v>2485</v>
      </c>
      <c r="L599" s="12" t="s">
        <v>2486</v>
      </c>
      <c r="M599" s="11" t="s">
        <v>1809</v>
      </c>
      <c r="N599" s="12" t="s">
        <v>51</v>
      </c>
      <c r="O599" s="11" t="s">
        <v>28</v>
      </c>
      <c r="P599" s="11" t="s">
        <v>52</v>
      </c>
      <c r="Q599" s="12" t="s">
        <v>1910</v>
      </c>
    </row>
    <row r="600" customFormat="false" ht="43.25" hidden="false" customHeight="false" outlineLevel="0" collapsed="false">
      <c r="A600" s="11" t="s">
        <v>2487</v>
      </c>
      <c r="B600" s="11" t="s">
        <v>15</v>
      </c>
      <c r="C600" s="11" t="s">
        <v>2421</v>
      </c>
      <c r="D600" s="12" t="s">
        <v>2488</v>
      </c>
      <c r="E600" s="12" t="s">
        <v>2489</v>
      </c>
      <c r="F600" s="12" t="s">
        <v>2488</v>
      </c>
      <c r="G600" s="11" t="s">
        <v>2425</v>
      </c>
      <c r="H600" s="11" t="s">
        <v>10</v>
      </c>
      <c r="I600" s="13" t="n">
        <v>0.575</v>
      </c>
      <c r="J600" s="11" t="s">
        <v>49</v>
      </c>
      <c r="K600" s="12" t="s">
        <v>2490</v>
      </c>
      <c r="L600" s="12" t="s">
        <v>2491</v>
      </c>
      <c r="M600" s="11" t="s">
        <v>1809</v>
      </c>
      <c r="N600" s="12" t="s">
        <v>51</v>
      </c>
      <c r="O600" s="11" t="s">
        <v>28</v>
      </c>
      <c r="P600" s="11" t="s">
        <v>52</v>
      </c>
      <c r="Q600" s="12" t="s">
        <v>1910</v>
      </c>
    </row>
    <row r="601" customFormat="false" ht="32.8" hidden="false" customHeight="false" outlineLevel="0" collapsed="false">
      <c r="A601" s="11" t="s">
        <v>2492</v>
      </c>
      <c r="B601" s="11" t="s">
        <v>15</v>
      </c>
      <c r="C601" s="11" t="s">
        <v>2421</v>
      </c>
      <c r="D601" s="12" t="s">
        <v>2493</v>
      </c>
      <c r="E601" s="12" t="s">
        <v>2494</v>
      </c>
      <c r="F601" s="12" t="s">
        <v>2495</v>
      </c>
      <c r="G601" s="11" t="s">
        <v>2425</v>
      </c>
      <c r="H601" s="11" t="s">
        <v>10</v>
      </c>
      <c r="I601" s="13" t="n">
        <v>0.35</v>
      </c>
      <c r="J601" s="11" t="s">
        <v>49</v>
      </c>
      <c r="K601" s="12" t="s">
        <v>2496</v>
      </c>
      <c r="L601" s="12" t="s">
        <v>2497</v>
      </c>
      <c r="M601" s="11" t="s">
        <v>1809</v>
      </c>
      <c r="N601" s="12" t="s">
        <v>51</v>
      </c>
      <c r="O601" s="11" t="s">
        <v>28</v>
      </c>
      <c r="P601" s="11" t="s">
        <v>52</v>
      </c>
      <c r="Q601" s="12" t="s">
        <v>1910</v>
      </c>
    </row>
    <row r="602" customFormat="false" ht="32.8" hidden="false" customHeight="false" outlineLevel="0" collapsed="false">
      <c r="A602" s="11" t="s">
        <v>2498</v>
      </c>
      <c r="B602" s="11" t="s">
        <v>15</v>
      </c>
      <c r="C602" s="11" t="s">
        <v>2421</v>
      </c>
      <c r="D602" s="12" t="s">
        <v>2499</v>
      </c>
      <c r="E602" s="12" t="s">
        <v>2500</v>
      </c>
      <c r="F602" s="12" t="s">
        <v>2006</v>
      </c>
      <c r="G602" s="11" t="s">
        <v>2425</v>
      </c>
      <c r="H602" s="11" t="s">
        <v>10</v>
      </c>
      <c r="I602" s="13" t="n">
        <v>0.425</v>
      </c>
      <c r="J602" s="11" t="s">
        <v>49</v>
      </c>
      <c r="K602" s="12" t="s">
        <v>2501</v>
      </c>
      <c r="L602" s="12" t="s">
        <v>2502</v>
      </c>
      <c r="M602" s="11" t="s">
        <v>1809</v>
      </c>
      <c r="N602" s="12" t="s">
        <v>51</v>
      </c>
      <c r="O602" s="11" t="s">
        <v>28</v>
      </c>
      <c r="P602" s="11" t="s">
        <v>52</v>
      </c>
      <c r="Q602" s="12" t="s">
        <v>1910</v>
      </c>
    </row>
    <row r="603" customFormat="false" ht="43.25" hidden="false" customHeight="false" outlineLevel="0" collapsed="false">
      <c r="A603" s="11" t="s">
        <v>2503</v>
      </c>
      <c r="B603" s="11" t="s">
        <v>15</v>
      </c>
      <c r="C603" s="11" t="s">
        <v>2421</v>
      </c>
      <c r="D603" s="12" t="s">
        <v>2504</v>
      </c>
      <c r="E603" s="12" t="s">
        <v>2505</v>
      </c>
      <c r="F603" s="12" t="s">
        <v>2504</v>
      </c>
      <c r="G603" s="11" t="s">
        <v>2425</v>
      </c>
      <c r="H603" s="11" t="s">
        <v>10</v>
      </c>
      <c r="I603" s="13" t="n">
        <v>0.275</v>
      </c>
      <c r="J603" s="11" t="s">
        <v>49</v>
      </c>
      <c r="K603" s="12" t="s">
        <v>2506</v>
      </c>
      <c r="L603" s="12" t="s">
        <v>2507</v>
      </c>
      <c r="M603" s="11" t="s">
        <v>1809</v>
      </c>
      <c r="N603" s="12" t="s">
        <v>51</v>
      </c>
      <c r="O603" s="11" t="s">
        <v>28</v>
      </c>
      <c r="P603" s="11" t="s">
        <v>52</v>
      </c>
      <c r="Q603" s="12" t="s">
        <v>1910</v>
      </c>
    </row>
    <row r="604" customFormat="false" ht="22.35" hidden="false" customHeight="false" outlineLevel="0" collapsed="false">
      <c r="A604" s="11" t="s">
        <v>2508</v>
      </c>
      <c r="B604" s="11" t="s">
        <v>15</v>
      </c>
      <c r="C604" s="11" t="s">
        <v>2421</v>
      </c>
      <c r="D604" s="12" t="s">
        <v>2509</v>
      </c>
      <c r="E604" s="12" t="s">
        <v>2510</v>
      </c>
      <c r="F604" s="12" t="s">
        <v>2509</v>
      </c>
      <c r="G604" s="11" t="s">
        <v>2425</v>
      </c>
      <c r="H604" s="11" t="s">
        <v>10</v>
      </c>
      <c r="I604" s="13" t="n">
        <v>0.583333333333333</v>
      </c>
      <c r="J604" s="11" t="s">
        <v>49</v>
      </c>
      <c r="K604" s="12" t="s">
        <v>2511</v>
      </c>
      <c r="L604" s="12" t="s">
        <v>2512</v>
      </c>
      <c r="M604" s="11" t="s">
        <v>1809</v>
      </c>
      <c r="N604" s="12" t="s">
        <v>51</v>
      </c>
      <c r="O604" s="11" t="s">
        <v>28</v>
      </c>
      <c r="P604" s="11" t="s">
        <v>52</v>
      </c>
      <c r="Q604" s="12" t="s">
        <v>1910</v>
      </c>
    </row>
    <row r="605" customFormat="false" ht="43.25" hidden="false" customHeight="false" outlineLevel="0" collapsed="false">
      <c r="A605" s="11" t="s">
        <v>2513</v>
      </c>
      <c r="B605" s="11" t="s">
        <v>15</v>
      </c>
      <c r="C605" s="11" t="s">
        <v>2421</v>
      </c>
      <c r="D605" s="12" t="s">
        <v>2514</v>
      </c>
      <c r="E605" s="12" t="s">
        <v>2515</v>
      </c>
      <c r="F605" s="12" t="s">
        <v>2387</v>
      </c>
      <c r="G605" s="11" t="s">
        <v>2425</v>
      </c>
      <c r="H605" s="11" t="s">
        <v>10</v>
      </c>
      <c r="I605" s="13" t="n">
        <v>0.310344827586207</v>
      </c>
      <c r="J605" s="11" t="s">
        <v>49</v>
      </c>
      <c r="K605" s="12" t="s">
        <v>2516</v>
      </c>
      <c r="L605" s="12" t="s">
        <v>2517</v>
      </c>
      <c r="M605" s="11" t="s">
        <v>1809</v>
      </c>
      <c r="N605" s="12" t="s">
        <v>51</v>
      </c>
      <c r="O605" s="11" t="s">
        <v>28</v>
      </c>
      <c r="P605" s="11" t="s">
        <v>52</v>
      </c>
      <c r="Q605" s="12" t="s">
        <v>1910</v>
      </c>
    </row>
    <row r="606" customFormat="false" ht="53.7" hidden="false" customHeight="false" outlineLevel="0" collapsed="false">
      <c r="A606" s="11" t="s">
        <v>2518</v>
      </c>
      <c r="B606" s="11" t="s">
        <v>15</v>
      </c>
      <c r="C606" s="11" t="s">
        <v>2421</v>
      </c>
      <c r="D606" s="12" t="s">
        <v>2519</v>
      </c>
      <c r="E606" s="12" t="s">
        <v>2520</v>
      </c>
      <c r="F606" s="12" t="s">
        <v>2521</v>
      </c>
      <c r="G606" s="11" t="s">
        <v>2425</v>
      </c>
      <c r="H606" s="11" t="s">
        <v>10</v>
      </c>
      <c r="I606" s="13" t="n">
        <v>0.428571428571429</v>
      </c>
      <c r="J606" s="11" t="s">
        <v>49</v>
      </c>
      <c r="K606" s="12" t="s">
        <v>2522</v>
      </c>
      <c r="L606" s="12" t="s">
        <v>2523</v>
      </c>
      <c r="M606" s="11" t="s">
        <v>1809</v>
      </c>
      <c r="N606" s="12" t="s">
        <v>51</v>
      </c>
      <c r="O606" s="11" t="s">
        <v>28</v>
      </c>
      <c r="P606" s="11" t="s">
        <v>52</v>
      </c>
      <c r="Q606" s="12" t="s">
        <v>1910</v>
      </c>
    </row>
    <row r="607" customFormat="false" ht="22.35" hidden="false" customHeight="false" outlineLevel="0" collapsed="false">
      <c r="A607" s="11" t="s">
        <v>2524</v>
      </c>
      <c r="B607" s="11" t="s">
        <v>15</v>
      </c>
      <c r="C607" s="11" t="s">
        <v>2421</v>
      </c>
      <c r="D607" s="12" t="s">
        <v>2525</v>
      </c>
      <c r="E607" s="12" t="s">
        <v>2526</v>
      </c>
      <c r="F607" s="12" t="s">
        <v>2381</v>
      </c>
      <c r="G607" s="11" t="s">
        <v>2425</v>
      </c>
      <c r="H607" s="11" t="s">
        <v>10</v>
      </c>
      <c r="I607" s="13" t="n">
        <v>0.875</v>
      </c>
      <c r="J607" s="11" t="s">
        <v>49</v>
      </c>
      <c r="K607" s="12" t="s">
        <v>2439</v>
      </c>
      <c r="L607" s="12" t="s">
        <v>2527</v>
      </c>
      <c r="M607" s="11" t="s">
        <v>1809</v>
      </c>
      <c r="N607" s="12" t="s">
        <v>51</v>
      </c>
      <c r="O607" s="11" t="s">
        <v>28</v>
      </c>
      <c r="P607" s="11" t="s">
        <v>52</v>
      </c>
      <c r="Q607" s="12" t="s">
        <v>1910</v>
      </c>
    </row>
    <row r="608" customFormat="false" ht="22.35" hidden="false" customHeight="false" outlineLevel="0" collapsed="false">
      <c r="A608" s="11" t="s">
        <v>2528</v>
      </c>
      <c r="B608" s="11" t="s">
        <v>15</v>
      </c>
      <c r="C608" s="11" t="s">
        <v>2421</v>
      </c>
      <c r="D608" s="12" t="s">
        <v>2529</v>
      </c>
      <c r="E608" s="12" t="s">
        <v>2530</v>
      </c>
      <c r="F608" s="12" t="s">
        <v>2384</v>
      </c>
      <c r="G608" s="11" t="s">
        <v>2425</v>
      </c>
      <c r="H608" s="11" t="s">
        <v>10</v>
      </c>
      <c r="I608" s="13" t="n">
        <v>1</v>
      </c>
      <c r="J608" s="11" t="s">
        <v>49</v>
      </c>
      <c r="K608" s="12"/>
      <c r="L608" s="12"/>
      <c r="M608" s="11" t="s">
        <v>1809</v>
      </c>
      <c r="N608" s="12" t="s">
        <v>51</v>
      </c>
      <c r="O608" s="11" t="s">
        <v>28</v>
      </c>
      <c r="P608" s="11" t="s">
        <v>52</v>
      </c>
      <c r="Q608" s="12" t="s">
        <v>1910</v>
      </c>
    </row>
    <row r="609" customFormat="false" ht="22.35" hidden="false" customHeight="false" outlineLevel="0" collapsed="false">
      <c r="A609" s="11" t="s">
        <v>2531</v>
      </c>
      <c r="B609" s="11" t="s">
        <v>15</v>
      </c>
      <c r="C609" s="11" t="s">
        <v>2421</v>
      </c>
      <c r="D609" s="12" t="s">
        <v>2532</v>
      </c>
      <c r="E609" s="12" t="s">
        <v>2533</v>
      </c>
      <c r="F609" s="12" t="s">
        <v>2534</v>
      </c>
      <c r="G609" s="11" t="s">
        <v>2425</v>
      </c>
      <c r="H609" s="11" t="s">
        <v>10</v>
      </c>
      <c r="I609" s="13" t="n">
        <v>0.6875</v>
      </c>
      <c r="J609" s="11" t="s">
        <v>49</v>
      </c>
      <c r="K609" s="12" t="s">
        <v>2535</v>
      </c>
      <c r="L609" s="12" t="s">
        <v>2536</v>
      </c>
      <c r="M609" s="11" t="s">
        <v>1809</v>
      </c>
      <c r="N609" s="12" t="s">
        <v>51</v>
      </c>
      <c r="O609" s="11" t="s">
        <v>28</v>
      </c>
      <c r="P609" s="11" t="s">
        <v>52</v>
      </c>
      <c r="Q609" s="12" t="s">
        <v>1910</v>
      </c>
    </row>
    <row r="610" customFormat="false" ht="43.25" hidden="false" customHeight="false" outlineLevel="0" collapsed="false">
      <c r="A610" s="11" t="s">
        <v>2537</v>
      </c>
      <c r="B610" s="11" t="s">
        <v>15</v>
      </c>
      <c r="C610" s="11" t="s">
        <v>2421</v>
      </c>
      <c r="D610" s="12" t="s">
        <v>2538</v>
      </c>
      <c r="E610" s="12" t="s">
        <v>2539</v>
      </c>
      <c r="F610" s="12" t="s">
        <v>2416</v>
      </c>
      <c r="G610" s="11" t="s">
        <v>2425</v>
      </c>
      <c r="H610" s="11" t="s">
        <v>10</v>
      </c>
      <c r="I610" s="13" t="n">
        <v>0.56</v>
      </c>
      <c r="J610" s="11" t="s">
        <v>49</v>
      </c>
      <c r="K610" s="12" t="s">
        <v>2540</v>
      </c>
      <c r="L610" s="12" t="s">
        <v>2541</v>
      </c>
      <c r="M610" s="11" t="s">
        <v>1809</v>
      </c>
      <c r="N610" s="12" t="s">
        <v>51</v>
      </c>
      <c r="O610" s="11" t="s">
        <v>28</v>
      </c>
      <c r="P610" s="11" t="s">
        <v>52</v>
      </c>
      <c r="Q610" s="12" t="s">
        <v>1910</v>
      </c>
    </row>
    <row r="611" customFormat="false" ht="43.25" hidden="false" customHeight="false" outlineLevel="0" collapsed="false">
      <c r="A611" s="11" t="s">
        <v>2542</v>
      </c>
      <c r="B611" s="11" t="s">
        <v>15</v>
      </c>
      <c r="C611" s="11" t="s">
        <v>2421</v>
      </c>
      <c r="D611" s="12" t="s">
        <v>2543</v>
      </c>
      <c r="E611" s="12" t="s">
        <v>2544</v>
      </c>
      <c r="F611" s="12" t="s">
        <v>2545</v>
      </c>
      <c r="G611" s="11" t="s">
        <v>2425</v>
      </c>
      <c r="H611" s="11" t="s">
        <v>10</v>
      </c>
      <c r="I611" s="13" t="n">
        <v>0.285714285714286</v>
      </c>
      <c r="J611" s="11" t="s">
        <v>49</v>
      </c>
      <c r="K611" s="12" t="s">
        <v>2546</v>
      </c>
      <c r="L611" s="12" t="s">
        <v>2547</v>
      </c>
      <c r="M611" s="11" t="s">
        <v>1809</v>
      </c>
      <c r="N611" s="12" t="s">
        <v>51</v>
      </c>
      <c r="O611" s="11" t="s">
        <v>28</v>
      </c>
      <c r="P611" s="11" t="s">
        <v>52</v>
      </c>
      <c r="Q611" s="12" t="s">
        <v>1910</v>
      </c>
    </row>
    <row r="612" customFormat="false" ht="43.25" hidden="false" customHeight="false" outlineLevel="0" collapsed="false">
      <c r="A612" s="11" t="s">
        <v>2548</v>
      </c>
      <c r="B612" s="11" t="s">
        <v>15</v>
      </c>
      <c r="C612" s="11" t="s">
        <v>2421</v>
      </c>
      <c r="D612" s="12" t="s">
        <v>2549</v>
      </c>
      <c r="E612" s="12" t="s">
        <v>2550</v>
      </c>
      <c r="F612" s="12" t="s">
        <v>2551</v>
      </c>
      <c r="G612" s="11" t="s">
        <v>2425</v>
      </c>
      <c r="H612" s="11" t="s">
        <v>10</v>
      </c>
      <c r="I612" s="13" t="n">
        <v>0.4375</v>
      </c>
      <c r="J612" s="11" t="s">
        <v>49</v>
      </c>
      <c r="K612" s="12" t="s">
        <v>2552</v>
      </c>
      <c r="L612" s="12" t="s">
        <v>2553</v>
      </c>
      <c r="M612" s="11" t="s">
        <v>1809</v>
      </c>
      <c r="N612" s="12" t="s">
        <v>51</v>
      </c>
      <c r="O612" s="11" t="s">
        <v>28</v>
      </c>
      <c r="P612" s="11" t="s">
        <v>52</v>
      </c>
      <c r="Q612" s="12" t="s">
        <v>1910</v>
      </c>
    </row>
    <row r="613" customFormat="false" ht="64.15" hidden="false" customHeight="false" outlineLevel="0" collapsed="false">
      <c r="A613" s="11" t="s">
        <v>2554</v>
      </c>
      <c r="B613" s="11" t="s">
        <v>15</v>
      </c>
      <c r="C613" s="11" t="s">
        <v>2421</v>
      </c>
      <c r="D613" s="12" t="s">
        <v>2555</v>
      </c>
      <c r="E613" s="12" t="s">
        <v>2556</v>
      </c>
      <c r="F613" s="12" t="s">
        <v>2557</v>
      </c>
      <c r="G613" s="11" t="s">
        <v>2425</v>
      </c>
      <c r="H613" s="11" t="s">
        <v>10</v>
      </c>
      <c r="I613" s="13" t="n">
        <v>0.136363636363636</v>
      </c>
      <c r="J613" s="11" t="s">
        <v>49</v>
      </c>
      <c r="K613" s="12" t="s">
        <v>2558</v>
      </c>
      <c r="L613" s="12" t="s">
        <v>2559</v>
      </c>
      <c r="M613" s="11" t="s">
        <v>1809</v>
      </c>
      <c r="N613" s="12" t="s">
        <v>51</v>
      </c>
      <c r="O613" s="11" t="s">
        <v>28</v>
      </c>
      <c r="P613" s="11" t="s">
        <v>52</v>
      </c>
      <c r="Q613" s="12" t="s">
        <v>1910</v>
      </c>
    </row>
    <row r="614" customFormat="false" ht="43.25" hidden="false" customHeight="false" outlineLevel="0" collapsed="false">
      <c r="A614" s="11" t="s">
        <v>2560</v>
      </c>
      <c r="B614" s="11" t="s">
        <v>15</v>
      </c>
      <c r="C614" s="11" t="s">
        <v>2421</v>
      </c>
      <c r="D614" s="12" t="s">
        <v>2561</v>
      </c>
      <c r="E614" s="12" t="s">
        <v>2562</v>
      </c>
      <c r="F614" s="12" t="s">
        <v>2561</v>
      </c>
      <c r="G614" s="11" t="s">
        <v>2425</v>
      </c>
      <c r="H614" s="11" t="s">
        <v>10</v>
      </c>
      <c r="I614" s="13" t="n">
        <v>0.225</v>
      </c>
      <c r="J614" s="11" t="s">
        <v>49</v>
      </c>
      <c r="K614" s="12" t="s">
        <v>2563</v>
      </c>
      <c r="L614" s="12" t="s">
        <v>2564</v>
      </c>
      <c r="M614" s="11" t="s">
        <v>1809</v>
      </c>
      <c r="N614" s="12" t="s">
        <v>51</v>
      </c>
      <c r="O614" s="11" t="s">
        <v>28</v>
      </c>
      <c r="P614" s="11" t="s">
        <v>52</v>
      </c>
      <c r="Q614" s="12" t="s">
        <v>1910</v>
      </c>
    </row>
    <row r="615" customFormat="false" ht="43.25" hidden="false" customHeight="false" outlineLevel="0" collapsed="false">
      <c r="A615" s="11" t="s">
        <v>2565</v>
      </c>
      <c r="B615" s="11" t="s">
        <v>15</v>
      </c>
      <c r="C615" s="11" t="s">
        <v>2421</v>
      </c>
      <c r="D615" s="12" t="s">
        <v>2566</v>
      </c>
      <c r="E615" s="12" t="s">
        <v>2567</v>
      </c>
      <c r="F615" s="12" t="s">
        <v>2566</v>
      </c>
      <c r="G615" s="11" t="s">
        <v>2425</v>
      </c>
      <c r="H615" s="11" t="s">
        <v>10</v>
      </c>
      <c r="I615" s="13" t="n">
        <v>0.175</v>
      </c>
      <c r="J615" s="11" t="s">
        <v>49</v>
      </c>
      <c r="K615" s="12" t="s">
        <v>2568</v>
      </c>
      <c r="L615" s="12" t="s">
        <v>2569</v>
      </c>
      <c r="M615" s="11" t="s">
        <v>1809</v>
      </c>
      <c r="N615" s="12" t="s">
        <v>51</v>
      </c>
      <c r="O615" s="11" t="s">
        <v>28</v>
      </c>
      <c r="P615" s="11" t="s">
        <v>52</v>
      </c>
      <c r="Q615" s="12" t="s">
        <v>1910</v>
      </c>
    </row>
    <row r="616" customFormat="false" ht="43.25" hidden="false" customHeight="false" outlineLevel="0" collapsed="false">
      <c r="A616" s="11" t="s">
        <v>2570</v>
      </c>
      <c r="B616" s="11" t="s">
        <v>15</v>
      </c>
      <c r="C616" s="11" t="s">
        <v>2421</v>
      </c>
      <c r="D616" s="12" t="s">
        <v>2571</v>
      </c>
      <c r="E616" s="12" t="s">
        <v>2572</v>
      </c>
      <c r="F616" s="12" t="s">
        <v>2573</v>
      </c>
      <c r="G616" s="11" t="s">
        <v>2425</v>
      </c>
      <c r="H616" s="11" t="s">
        <v>10</v>
      </c>
      <c r="I616" s="13" t="n">
        <v>0.275</v>
      </c>
      <c r="J616" s="11" t="s">
        <v>49</v>
      </c>
      <c r="K616" s="12" t="s">
        <v>2574</v>
      </c>
      <c r="L616" s="12" t="s">
        <v>2575</v>
      </c>
      <c r="M616" s="11" t="s">
        <v>1809</v>
      </c>
      <c r="N616" s="12" t="s">
        <v>51</v>
      </c>
      <c r="O616" s="11" t="s">
        <v>28</v>
      </c>
      <c r="P616" s="11" t="s">
        <v>52</v>
      </c>
      <c r="Q616" s="12" t="s">
        <v>1910</v>
      </c>
    </row>
    <row r="617" customFormat="false" ht="32.8" hidden="false" customHeight="false" outlineLevel="0" collapsed="false">
      <c r="A617" s="11" t="s">
        <v>2576</v>
      </c>
      <c r="B617" s="11" t="s">
        <v>15</v>
      </c>
      <c r="C617" s="11" t="s">
        <v>2421</v>
      </c>
      <c r="D617" s="12" t="s">
        <v>2577</v>
      </c>
      <c r="E617" s="12" t="s">
        <v>2578</v>
      </c>
      <c r="F617" s="12" t="s">
        <v>2577</v>
      </c>
      <c r="G617" s="11" t="s">
        <v>2425</v>
      </c>
      <c r="H617" s="11" t="s">
        <v>10</v>
      </c>
      <c r="I617" s="13" t="n">
        <v>0.25</v>
      </c>
      <c r="J617" s="11" t="s">
        <v>49</v>
      </c>
      <c r="K617" s="12" t="s">
        <v>2579</v>
      </c>
      <c r="L617" s="12" t="s">
        <v>2580</v>
      </c>
      <c r="M617" s="11" t="s">
        <v>1809</v>
      </c>
      <c r="N617" s="12" t="s">
        <v>51</v>
      </c>
      <c r="O617" s="11" t="s">
        <v>28</v>
      </c>
      <c r="P617" s="11" t="s">
        <v>52</v>
      </c>
      <c r="Q617" s="12" t="s">
        <v>1910</v>
      </c>
    </row>
    <row r="618" customFormat="false" ht="53.7" hidden="false" customHeight="false" outlineLevel="0" collapsed="false">
      <c r="A618" s="11" t="s">
        <v>2581</v>
      </c>
      <c r="B618" s="11" t="s">
        <v>15</v>
      </c>
      <c r="C618" s="11" t="s">
        <v>2421</v>
      </c>
      <c r="D618" s="12" t="s">
        <v>2582</v>
      </c>
      <c r="E618" s="12" t="s">
        <v>2583</v>
      </c>
      <c r="F618" s="12" t="s">
        <v>2582</v>
      </c>
      <c r="G618" s="11" t="s">
        <v>2425</v>
      </c>
      <c r="H618" s="11" t="s">
        <v>10</v>
      </c>
      <c r="I618" s="13" t="n">
        <v>0.375</v>
      </c>
      <c r="J618" s="11" t="s">
        <v>49</v>
      </c>
      <c r="K618" s="12" t="s">
        <v>2584</v>
      </c>
      <c r="L618" s="12" t="s">
        <v>2585</v>
      </c>
      <c r="M618" s="11" t="s">
        <v>1809</v>
      </c>
      <c r="N618" s="12" t="s">
        <v>51</v>
      </c>
      <c r="O618" s="11" t="s">
        <v>28</v>
      </c>
      <c r="P618" s="11" t="s">
        <v>52</v>
      </c>
      <c r="Q618" s="12" t="s">
        <v>1910</v>
      </c>
    </row>
    <row r="619" customFormat="false" ht="32.8" hidden="false" customHeight="false" outlineLevel="0" collapsed="false">
      <c r="A619" s="11" t="s">
        <v>2586</v>
      </c>
      <c r="B619" s="11" t="s">
        <v>15</v>
      </c>
      <c r="C619" s="11" t="s">
        <v>2421</v>
      </c>
      <c r="D619" s="12" t="s">
        <v>2587</v>
      </c>
      <c r="E619" s="12" t="s">
        <v>2588</v>
      </c>
      <c r="F619" s="12" t="s">
        <v>2587</v>
      </c>
      <c r="G619" s="11" t="s">
        <v>2425</v>
      </c>
      <c r="H619" s="11" t="s">
        <v>10</v>
      </c>
      <c r="I619" s="13" t="n">
        <v>0.425</v>
      </c>
      <c r="J619" s="11" t="s">
        <v>49</v>
      </c>
      <c r="K619" s="12" t="s">
        <v>2589</v>
      </c>
      <c r="L619" s="12" t="s">
        <v>2590</v>
      </c>
      <c r="M619" s="11" t="s">
        <v>1809</v>
      </c>
      <c r="N619" s="12" t="s">
        <v>51</v>
      </c>
      <c r="O619" s="11" t="s">
        <v>28</v>
      </c>
      <c r="P619" s="11" t="s">
        <v>52</v>
      </c>
      <c r="Q619" s="12" t="s">
        <v>1910</v>
      </c>
    </row>
    <row r="620" customFormat="false" ht="15" hidden="false" customHeight="false" outlineLevel="0" collapsed="false">
      <c r="A620" s="11" t="s">
        <v>2591</v>
      </c>
      <c r="B620" s="11" t="s">
        <v>15</v>
      </c>
      <c r="C620" s="11" t="s">
        <v>1805</v>
      </c>
      <c r="D620" s="12" t="s">
        <v>2592</v>
      </c>
      <c r="E620" s="12" t="s">
        <v>2593</v>
      </c>
      <c r="F620" s="12" t="s">
        <v>2592</v>
      </c>
      <c r="G620" s="11" t="s">
        <v>1808</v>
      </c>
      <c r="H620" s="11" t="s">
        <v>10</v>
      </c>
      <c r="I620" s="13"/>
      <c r="J620" s="11" t="s">
        <v>49</v>
      </c>
      <c r="K620" s="12"/>
      <c r="L620" s="12"/>
      <c r="M620" s="11" t="s">
        <v>1809</v>
      </c>
      <c r="N620" s="12" t="s">
        <v>51</v>
      </c>
      <c r="O620" s="11" t="s">
        <v>28</v>
      </c>
      <c r="P620" s="11" t="s">
        <v>52</v>
      </c>
      <c r="Q620" s="12" t="s">
        <v>1810</v>
      </c>
    </row>
    <row r="621" customFormat="false" ht="15" hidden="false" customHeight="false" outlineLevel="0" collapsed="false">
      <c r="A621" s="11" t="s">
        <v>2594</v>
      </c>
      <c r="B621" s="11" t="s">
        <v>15</v>
      </c>
      <c r="C621" s="11" t="s">
        <v>1805</v>
      </c>
      <c r="D621" s="12" t="s">
        <v>2595</v>
      </c>
      <c r="E621" s="12" t="s">
        <v>2596</v>
      </c>
      <c r="F621" s="12" t="s">
        <v>2595</v>
      </c>
      <c r="G621" s="11" t="s">
        <v>1808</v>
      </c>
      <c r="H621" s="11" t="s">
        <v>10</v>
      </c>
      <c r="I621" s="13"/>
      <c r="J621" s="11" t="s">
        <v>49</v>
      </c>
      <c r="K621" s="12"/>
      <c r="L621" s="12"/>
      <c r="M621" s="11" t="s">
        <v>1809</v>
      </c>
      <c r="N621" s="12" t="s">
        <v>51</v>
      </c>
      <c r="O621" s="11" t="s">
        <v>28</v>
      </c>
      <c r="P621" s="11" t="s">
        <v>52</v>
      </c>
      <c r="Q621" s="12" t="s">
        <v>1810</v>
      </c>
    </row>
    <row r="622" customFormat="false" ht="15" hidden="false" customHeight="false" outlineLevel="0" collapsed="false">
      <c r="A622" s="11" t="s">
        <v>2597</v>
      </c>
      <c r="B622" s="11" t="s">
        <v>15</v>
      </c>
      <c r="C622" s="11" t="s">
        <v>1805</v>
      </c>
      <c r="D622" s="12" t="s">
        <v>2598</v>
      </c>
      <c r="E622" s="12" t="s">
        <v>2599</v>
      </c>
      <c r="F622" s="12" t="s">
        <v>2598</v>
      </c>
      <c r="G622" s="11" t="s">
        <v>1808</v>
      </c>
      <c r="H622" s="11" t="s">
        <v>10</v>
      </c>
      <c r="I622" s="13"/>
      <c r="J622" s="11" t="s">
        <v>49</v>
      </c>
      <c r="K622" s="12"/>
      <c r="L622" s="12"/>
      <c r="M622" s="11" t="s">
        <v>1809</v>
      </c>
      <c r="N622" s="12" t="s">
        <v>51</v>
      </c>
      <c r="O622" s="11" t="s">
        <v>28</v>
      </c>
      <c r="P622" s="11" t="s">
        <v>52</v>
      </c>
      <c r="Q622" s="12" t="s">
        <v>1810</v>
      </c>
    </row>
    <row r="623" customFormat="false" ht="15" hidden="false" customHeight="false" outlineLevel="0" collapsed="false">
      <c r="A623" s="11" t="s">
        <v>2600</v>
      </c>
      <c r="B623" s="11" t="s">
        <v>15</v>
      </c>
      <c r="C623" s="11" t="s">
        <v>1805</v>
      </c>
      <c r="D623" s="12" t="s">
        <v>2601</v>
      </c>
      <c r="E623" s="12" t="s">
        <v>2602</v>
      </c>
      <c r="F623" s="12" t="s">
        <v>2601</v>
      </c>
      <c r="G623" s="11" t="s">
        <v>1808</v>
      </c>
      <c r="H623" s="11" t="s">
        <v>10</v>
      </c>
      <c r="I623" s="13"/>
      <c r="J623" s="11" t="s">
        <v>49</v>
      </c>
      <c r="K623" s="12"/>
      <c r="L623" s="12"/>
      <c r="M623" s="11" t="s">
        <v>1809</v>
      </c>
      <c r="N623" s="12" t="s">
        <v>51</v>
      </c>
      <c r="O623" s="11" t="s">
        <v>28</v>
      </c>
      <c r="P623" s="11" t="s">
        <v>52</v>
      </c>
      <c r="Q623" s="12" t="s">
        <v>1810</v>
      </c>
    </row>
    <row r="624" customFormat="false" ht="15" hidden="false" customHeight="false" outlineLevel="0" collapsed="false">
      <c r="A624" s="11" t="s">
        <v>2603</v>
      </c>
      <c r="B624" s="11" t="s">
        <v>15</v>
      </c>
      <c r="C624" s="11" t="s">
        <v>1805</v>
      </c>
      <c r="D624" s="12" t="s">
        <v>2604</v>
      </c>
      <c r="E624" s="12" t="s">
        <v>2605</v>
      </c>
      <c r="F624" s="12" t="s">
        <v>2604</v>
      </c>
      <c r="G624" s="11" t="s">
        <v>1808</v>
      </c>
      <c r="H624" s="11" t="s">
        <v>10</v>
      </c>
      <c r="I624" s="13"/>
      <c r="J624" s="11" t="s">
        <v>49</v>
      </c>
      <c r="K624" s="12"/>
      <c r="L624" s="12"/>
      <c r="M624" s="11" t="s">
        <v>1809</v>
      </c>
      <c r="N624" s="12" t="s">
        <v>51</v>
      </c>
      <c r="O624" s="11" t="s">
        <v>28</v>
      </c>
      <c r="P624" s="11" t="s">
        <v>52</v>
      </c>
      <c r="Q624" s="12" t="s">
        <v>1810</v>
      </c>
    </row>
    <row r="625" customFormat="false" ht="15" hidden="false" customHeight="false" outlineLevel="0" collapsed="false">
      <c r="A625" s="11" t="s">
        <v>2606</v>
      </c>
      <c r="B625" s="11" t="s">
        <v>15</v>
      </c>
      <c r="C625" s="11" t="s">
        <v>1805</v>
      </c>
      <c r="D625" s="12" t="s">
        <v>2607</v>
      </c>
      <c r="E625" s="12" t="s">
        <v>2608</v>
      </c>
      <c r="F625" s="12" t="s">
        <v>2607</v>
      </c>
      <c r="G625" s="11" t="s">
        <v>1808</v>
      </c>
      <c r="H625" s="11" t="s">
        <v>10</v>
      </c>
      <c r="I625" s="13"/>
      <c r="J625" s="11" t="s">
        <v>49</v>
      </c>
      <c r="K625" s="12"/>
      <c r="L625" s="12"/>
      <c r="M625" s="11" t="s">
        <v>1809</v>
      </c>
      <c r="N625" s="12" t="s">
        <v>51</v>
      </c>
      <c r="O625" s="11" t="s">
        <v>28</v>
      </c>
      <c r="P625" s="11" t="s">
        <v>52</v>
      </c>
      <c r="Q625" s="12" t="s">
        <v>1810</v>
      </c>
    </row>
    <row r="626" customFormat="false" ht="15" hidden="false" customHeight="false" outlineLevel="0" collapsed="false">
      <c r="A626" s="11" t="s">
        <v>2609</v>
      </c>
      <c r="B626" s="11" t="s">
        <v>15</v>
      </c>
      <c r="C626" s="11" t="s">
        <v>1805</v>
      </c>
      <c r="D626" s="12" t="s">
        <v>2610</v>
      </c>
      <c r="E626" s="12" t="s">
        <v>2611</v>
      </c>
      <c r="F626" s="12" t="s">
        <v>2610</v>
      </c>
      <c r="G626" s="11" t="s">
        <v>1808</v>
      </c>
      <c r="H626" s="11" t="s">
        <v>10</v>
      </c>
      <c r="I626" s="13"/>
      <c r="J626" s="11" t="s">
        <v>49</v>
      </c>
      <c r="K626" s="12"/>
      <c r="L626" s="12"/>
      <c r="M626" s="11" t="s">
        <v>1809</v>
      </c>
      <c r="N626" s="12" t="s">
        <v>51</v>
      </c>
      <c r="O626" s="11" t="s">
        <v>28</v>
      </c>
      <c r="P626" s="11" t="s">
        <v>52</v>
      </c>
      <c r="Q626" s="12" t="s">
        <v>1810</v>
      </c>
    </row>
    <row r="627" customFormat="false" ht="15" hidden="false" customHeight="false" outlineLevel="0" collapsed="false">
      <c r="A627" s="11" t="s">
        <v>2612</v>
      </c>
      <c r="B627" s="11" t="s">
        <v>15</v>
      </c>
      <c r="C627" s="11" t="s">
        <v>1805</v>
      </c>
      <c r="D627" s="12" t="s">
        <v>2613</v>
      </c>
      <c r="E627" s="12" t="s">
        <v>2614</v>
      </c>
      <c r="F627" s="12" t="s">
        <v>2613</v>
      </c>
      <c r="G627" s="11" t="s">
        <v>1808</v>
      </c>
      <c r="H627" s="11" t="s">
        <v>10</v>
      </c>
      <c r="I627" s="13"/>
      <c r="J627" s="11" t="s">
        <v>49</v>
      </c>
      <c r="K627" s="12"/>
      <c r="L627" s="12"/>
      <c r="M627" s="11" t="s">
        <v>1809</v>
      </c>
      <c r="N627" s="12" t="s">
        <v>51</v>
      </c>
      <c r="O627" s="11" t="s">
        <v>28</v>
      </c>
      <c r="P627" s="11" t="s">
        <v>52</v>
      </c>
      <c r="Q627" s="12" t="s">
        <v>1810</v>
      </c>
    </row>
    <row r="628" customFormat="false" ht="15" hidden="false" customHeight="false" outlineLevel="0" collapsed="false">
      <c r="A628" s="11" t="s">
        <v>2615</v>
      </c>
      <c r="B628" s="11" t="s">
        <v>15</v>
      </c>
      <c r="C628" s="11" t="s">
        <v>1805</v>
      </c>
      <c r="D628" s="12" t="s">
        <v>2616</v>
      </c>
      <c r="E628" s="12" t="s">
        <v>2617</v>
      </c>
      <c r="F628" s="12" t="s">
        <v>2616</v>
      </c>
      <c r="G628" s="11" t="s">
        <v>1808</v>
      </c>
      <c r="H628" s="11" t="s">
        <v>10</v>
      </c>
      <c r="I628" s="13"/>
      <c r="J628" s="11" t="s">
        <v>49</v>
      </c>
      <c r="K628" s="12"/>
      <c r="L628" s="12"/>
      <c r="M628" s="11" t="s">
        <v>1809</v>
      </c>
      <c r="N628" s="12" t="s">
        <v>51</v>
      </c>
      <c r="O628" s="11" t="s">
        <v>28</v>
      </c>
      <c r="P628" s="11" t="s">
        <v>52</v>
      </c>
      <c r="Q628" s="12" t="s">
        <v>1810</v>
      </c>
    </row>
    <row r="629" customFormat="false" ht="15" hidden="false" customHeight="false" outlineLevel="0" collapsed="false">
      <c r="A629" s="11" t="s">
        <v>2618</v>
      </c>
      <c r="B629" s="11" t="s">
        <v>15</v>
      </c>
      <c r="C629" s="11" t="s">
        <v>1805</v>
      </c>
      <c r="D629" s="12" t="s">
        <v>2619</v>
      </c>
      <c r="E629" s="12" t="s">
        <v>2620</v>
      </c>
      <c r="F629" s="12" t="s">
        <v>2619</v>
      </c>
      <c r="G629" s="11" t="s">
        <v>1808</v>
      </c>
      <c r="H629" s="11" t="s">
        <v>10</v>
      </c>
      <c r="I629" s="13"/>
      <c r="J629" s="11" t="s">
        <v>49</v>
      </c>
      <c r="K629" s="12"/>
      <c r="L629" s="12"/>
      <c r="M629" s="11" t="s">
        <v>1809</v>
      </c>
      <c r="N629" s="12" t="s">
        <v>51</v>
      </c>
      <c r="O629" s="11" t="s">
        <v>28</v>
      </c>
      <c r="P629" s="11" t="s">
        <v>52</v>
      </c>
      <c r="Q629" s="12" t="s">
        <v>1810</v>
      </c>
    </row>
    <row r="630" customFormat="false" ht="15" hidden="false" customHeight="false" outlineLevel="0" collapsed="false">
      <c r="A630" s="11" t="s">
        <v>2621</v>
      </c>
      <c r="B630" s="11" t="s">
        <v>15</v>
      </c>
      <c r="C630" s="11" t="s">
        <v>1805</v>
      </c>
      <c r="D630" s="12" t="s">
        <v>2622</v>
      </c>
      <c r="E630" s="12" t="s">
        <v>2623</v>
      </c>
      <c r="F630" s="12" t="s">
        <v>2622</v>
      </c>
      <c r="G630" s="11" t="s">
        <v>1808</v>
      </c>
      <c r="H630" s="11" t="s">
        <v>10</v>
      </c>
      <c r="I630" s="13"/>
      <c r="J630" s="11" t="s">
        <v>49</v>
      </c>
      <c r="K630" s="12"/>
      <c r="L630" s="12"/>
      <c r="M630" s="11" t="s">
        <v>1809</v>
      </c>
      <c r="N630" s="12" t="s">
        <v>51</v>
      </c>
      <c r="O630" s="11" t="s">
        <v>28</v>
      </c>
      <c r="P630" s="11" t="s">
        <v>52</v>
      </c>
      <c r="Q630" s="12" t="s">
        <v>1810</v>
      </c>
    </row>
    <row r="631" customFormat="false" ht="43.25" hidden="false" customHeight="false" outlineLevel="0" collapsed="false">
      <c r="A631" s="11" t="s">
        <v>2624</v>
      </c>
      <c r="B631" s="11" t="s">
        <v>15</v>
      </c>
      <c r="C631" s="11" t="s">
        <v>1805</v>
      </c>
      <c r="D631" s="12" t="s">
        <v>2625</v>
      </c>
      <c r="E631" s="12" t="s">
        <v>2626</v>
      </c>
      <c r="F631" s="12" t="s">
        <v>2627</v>
      </c>
      <c r="G631" s="11" t="s">
        <v>1808</v>
      </c>
      <c r="H631" s="11" t="s">
        <v>10</v>
      </c>
      <c r="I631" s="13" t="n">
        <v>0.45</v>
      </c>
      <c r="J631" s="11" t="s">
        <v>49</v>
      </c>
      <c r="K631" s="12" t="s">
        <v>2628</v>
      </c>
      <c r="L631" s="12" t="s">
        <v>2629</v>
      </c>
      <c r="M631" s="11" t="s">
        <v>1809</v>
      </c>
      <c r="N631" s="12" t="s">
        <v>51</v>
      </c>
      <c r="O631" s="11" t="s">
        <v>28</v>
      </c>
      <c r="P631" s="11" t="s">
        <v>52</v>
      </c>
      <c r="Q631" s="12" t="s">
        <v>1910</v>
      </c>
    </row>
    <row r="632" customFormat="false" ht="64.15" hidden="false" customHeight="false" outlineLevel="0" collapsed="false">
      <c r="A632" s="11" t="s">
        <v>2630</v>
      </c>
      <c r="B632" s="11" t="s">
        <v>15</v>
      </c>
      <c r="C632" s="11" t="s">
        <v>1805</v>
      </c>
      <c r="D632" s="12" t="s">
        <v>2631</v>
      </c>
      <c r="E632" s="12" t="s">
        <v>2632</v>
      </c>
      <c r="F632" s="12" t="s">
        <v>2633</v>
      </c>
      <c r="G632" s="11" t="s">
        <v>1808</v>
      </c>
      <c r="H632" s="11" t="s">
        <v>10</v>
      </c>
      <c r="I632" s="13" t="n">
        <v>0.541666666666667</v>
      </c>
      <c r="J632" s="11" t="s">
        <v>49</v>
      </c>
      <c r="K632" s="12" t="s">
        <v>2634</v>
      </c>
      <c r="L632" s="12" t="s">
        <v>2635</v>
      </c>
      <c r="M632" s="11" t="s">
        <v>1809</v>
      </c>
      <c r="N632" s="12" t="s">
        <v>51</v>
      </c>
      <c r="O632" s="11" t="s">
        <v>28</v>
      </c>
      <c r="P632" s="11" t="s">
        <v>52</v>
      </c>
      <c r="Q632" s="12" t="s">
        <v>1910</v>
      </c>
    </row>
    <row r="633" customFormat="false" ht="53.7" hidden="false" customHeight="false" outlineLevel="0" collapsed="false">
      <c r="A633" s="11" t="s">
        <v>2636</v>
      </c>
      <c r="B633" s="11" t="s">
        <v>15</v>
      </c>
      <c r="C633" s="11" t="s">
        <v>1805</v>
      </c>
      <c r="D633" s="12" t="s">
        <v>2637</v>
      </c>
      <c r="E633" s="12" t="s">
        <v>2638</v>
      </c>
      <c r="F633" s="12" t="s">
        <v>2639</v>
      </c>
      <c r="G633" s="11" t="s">
        <v>1808</v>
      </c>
      <c r="H633" s="11" t="s">
        <v>10</v>
      </c>
      <c r="I633" s="13" t="n">
        <v>0.571428571428571</v>
      </c>
      <c r="J633" s="11" t="s">
        <v>49</v>
      </c>
      <c r="K633" s="12" t="s">
        <v>2640</v>
      </c>
      <c r="L633" s="12" t="s">
        <v>2641</v>
      </c>
      <c r="M633" s="11" t="s">
        <v>1809</v>
      </c>
      <c r="N633" s="12" t="s">
        <v>51</v>
      </c>
      <c r="O633" s="11" t="s">
        <v>28</v>
      </c>
      <c r="P633" s="11" t="s">
        <v>52</v>
      </c>
      <c r="Q633" s="12" t="s">
        <v>1910</v>
      </c>
    </row>
    <row r="634" customFormat="false" ht="64.15" hidden="false" customHeight="false" outlineLevel="0" collapsed="false">
      <c r="A634" s="11" t="s">
        <v>2642</v>
      </c>
      <c r="B634" s="11" t="s">
        <v>15</v>
      </c>
      <c r="C634" s="11" t="s">
        <v>1805</v>
      </c>
      <c r="D634" s="12" t="s">
        <v>2643</v>
      </c>
      <c r="E634" s="12" t="s">
        <v>2644</v>
      </c>
      <c r="F634" s="12" t="s">
        <v>2645</v>
      </c>
      <c r="G634" s="11" t="s">
        <v>1808</v>
      </c>
      <c r="H634" s="11" t="s">
        <v>10</v>
      </c>
      <c r="I634" s="13" t="n">
        <v>0.525</v>
      </c>
      <c r="J634" s="11" t="s">
        <v>49</v>
      </c>
      <c r="K634" s="12" t="s">
        <v>2646</v>
      </c>
      <c r="L634" s="12" t="s">
        <v>2647</v>
      </c>
      <c r="M634" s="11" t="s">
        <v>1809</v>
      </c>
      <c r="N634" s="12" t="s">
        <v>51</v>
      </c>
      <c r="O634" s="11" t="s">
        <v>28</v>
      </c>
      <c r="P634" s="11" t="s">
        <v>52</v>
      </c>
      <c r="Q634" s="12" t="s">
        <v>1910</v>
      </c>
    </row>
    <row r="635" customFormat="false" ht="43.25" hidden="false" customHeight="false" outlineLevel="0" collapsed="false">
      <c r="A635" s="11" t="s">
        <v>2648</v>
      </c>
      <c r="B635" s="11" t="s">
        <v>15</v>
      </c>
      <c r="C635" s="11" t="s">
        <v>2094</v>
      </c>
      <c r="D635" s="12" t="s">
        <v>2649</v>
      </c>
      <c r="E635" s="12" t="s">
        <v>2650</v>
      </c>
      <c r="F635" s="12" t="s">
        <v>2651</v>
      </c>
      <c r="G635" s="11" t="s">
        <v>8</v>
      </c>
      <c r="H635" s="11" t="s">
        <v>8</v>
      </c>
      <c r="I635" s="13" t="n">
        <v>0.72972972972973</v>
      </c>
      <c r="J635" s="11" t="s">
        <v>49</v>
      </c>
      <c r="K635" s="12" t="s">
        <v>2652</v>
      </c>
      <c r="L635" s="12" t="s">
        <v>2653</v>
      </c>
      <c r="M635" s="11" t="s">
        <v>1809</v>
      </c>
      <c r="N635" s="12" t="s">
        <v>51</v>
      </c>
      <c r="O635" s="11" t="s">
        <v>28</v>
      </c>
      <c r="P635" s="11" t="s">
        <v>52</v>
      </c>
      <c r="Q635" s="12" t="s">
        <v>2183</v>
      </c>
    </row>
    <row r="636" customFormat="false" ht="32.8" hidden="false" customHeight="false" outlineLevel="0" collapsed="false">
      <c r="A636" s="11" t="s">
        <v>2654</v>
      </c>
      <c r="B636" s="11" t="s">
        <v>15</v>
      </c>
      <c r="C636" s="11" t="s">
        <v>2094</v>
      </c>
      <c r="D636" s="12" t="s">
        <v>2655</v>
      </c>
      <c r="E636" s="12" t="s">
        <v>2656</v>
      </c>
      <c r="F636" s="12" t="s">
        <v>2655</v>
      </c>
      <c r="G636" s="11" t="s">
        <v>2098</v>
      </c>
      <c r="H636" s="11" t="s">
        <v>4</v>
      </c>
      <c r="I636" s="13" t="n">
        <v>0.55</v>
      </c>
      <c r="J636" s="11" t="s">
        <v>49</v>
      </c>
      <c r="K636" s="12" t="s">
        <v>2657</v>
      </c>
      <c r="L636" s="12" t="s">
        <v>2658</v>
      </c>
      <c r="M636" s="11" t="s">
        <v>1643</v>
      </c>
      <c r="N636" s="12" t="s">
        <v>51</v>
      </c>
      <c r="O636" s="11" t="s">
        <v>27</v>
      </c>
      <c r="P636" s="11" t="s">
        <v>52</v>
      </c>
      <c r="Q636" s="12"/>
    </row>
    <row r="637" customFormat="false" ht="22.35" hidden="false" customHeight="false" outlineLevel="0" collapsed="false">
      <c r="A637" s="11" t="s">
        <v>2659</v>
      </c>
      <c r="B637" s="11" t="s">
        <v>15</v>
      </c>
      <c r="C637" s="11" t="s">
        <v>2094</v>
      </c>
      <c r="D637" s="12" t="s">
        <v>2660</v>
      </c>
      <c r="E637" s="12" t="s">
        <v>2661</v>
      </c>
      <c r="F637" s="12" t="s">
        <v>2660</v>
      </c>
      <c r="G637" s="11" t="s">
        <v>2098</v>
      </c>
      <c r="H637" s="11" t="s">
        <v>4</v>
      </c>
      <c r="I637" s="13" t="n">
        <v>0.727272727272727</v>
      </c>
      <c r="J637" s="11" t="s">
        <v>49</v>
      </c>
      <c r="K637" s="12" t="s">
        <v>2662</v>
      </c>
      <c r="L637" s="12" t="s">
        <v>2663</v>
      </c>
      <c r="M637" s="11" t="s">
        <v>1643</v>
      </c>
      <c r="N637" s="12" t="s">
        <v>51</v>
      </c>
      <c r="O637" s="11" t="s">
        <v>27</v>
      </c>
      <c r="P637" s="11" t="s">
        <v>52</v>
      </c>
      <c r="Q637" s="12"/>
    </row>
    <row r="638" customFormat="false" ht="32.8" hidden="false" customHeight="false" outlineLevel="0" collapsed="false">
      <c r="A638" s="11" t="s">
        <v>2664</v>
      </c>
      <c r="B638" s="11" t="s">
        <v>15</v>
      </c>
      <c r="C638" s="11" t="s">
        <v>2094</v>
      </c>
      <c r="D638" s="12" t="s">
        <v>2665</v>
      </c>
      <c r="E638" s="12" t="s">
        <v>2666</v>
      </c>
      <c r="F638" s="12" t="s">
        <v>2665</v>
      </c>
      <c r="G638" s="11" t="s">
        <v>2098</v>
      </c>
      <c r="H638" s="11" t="s">
        <v>5</v>
      </c>
      <c r="I638" s="13" t="n">
        <v>0.325</v>
      </c>
      <c r="J638" s="11" t="s">
        <v>49</v>
      </c>
      <c r="K638" s="12" t="s">
        <v>2667</v>
      </c>
      <c r="L638" s="12" t="s">
        <v>2668</v>
      </c>
      <c r="M638" s="11" t="s">
        <v>1643</v>
      </c>
      <c r="N638" s="12" t="s">
        <v>2669</v>
      </c>
      <c r="O638" s="11" t="s">
        <v>25</v>
      </c>
      <c r="P638" s="11" t="s">
        <v>52</v>
      </c>
      <c r="Q638" s="12"/>
    </row>
    <row r="639" customFormat="false" ht="43.25" hidden="false" customHeight="false" outlineLevel="0" collapsed="false">
      <c r="A639" s="11" t="s">
        <v>2670</v>
      </c>
      <c r="B639" s="11" t="s">
        <v>15</v>
      </c>
      <c r="C639" s="11" t="s">
        <v>2094</v>
      </c>
      <c r="D639" s="12" t="s">
        <v>2671</v>
      </c>
      <c r="E639" s="12" t="s">
        <v>2672</v>
      </c>
      <c r="F639" s="12" t="s">
        <v>2673</v>
      </c>
      <c r="G639" s="11" t="s">
        <v>8</v>
      </c>
      <c r="H639" s="11" t="s">
        <v>8</v>
      </c>
      <c r="I639" s="13" t="n">
        <v>0.75</v>
      </c>
      <c r="J639" s="11" t="s">
        <v>49</v>
      </c>
      <c r="K639" s="12" t="s">
        <v>2674</v>
      </c>
      <c r="L639" s="12" t="s">
        <v>2675</v>
      </c>
      <c r="M639" s="11" t="s">
        <v>1809</v>
      </c>
      <c r="N639" s="12" t="s">
        <v>51</v>
      </c>
      <c r="O639" s="11" t="s">
        <v>28</v>
      </c>
      <c r="P639" s="11" t="s">
        <v>52</v>
      </c>
      <c r="Q639" s="12" t="s">
        <v>2183</v>
      </c>
    </row>
    <row r="640" customFormat="false" ht="53.7" hidden="false" customHeight="false" outlineLevel="0" collapsed="false">
      <c r="A640" s="11" t="s">
        <v>2676</v>
      </c>
      <c r="B640" s="11" t="s">
        <v>15</v>
      </c>
      <c r="C640" s="11" t="s">
        <v>2094</v>
      </c>
      <c r="D640" s="12" t="s">
        <v>2677</v>
      </c>
      <c r="E640" s="12" t="s">
        <v>2678</v>
      </c>
      <c r="F640" s="12" t="s">
        <v>2679</v>
      </c>
      <c r="G640" s="11" t="s">
        <v>8</v>
      </c>
      <c r="H640" s="11" t="s">
        <v>8</v>
      </c>
      <c r="I640" s="13" t="n">
        <v>0.525</v>
      </c>
      <c r="J640" s="11" t="s">
        <v>49</v>
      </c>
      <c r="K640" s="12" t="s">
        <v>2680</v>
      </c>
      <c r="L640" s="12" t="s">
        <v>2681</v>
      </c>
      <c r="M640" s="11" t="s">
        <v>1809</v>
      </c>
      <c r="N640" s="12" t="s">
        <v>51</v>
      </c>
      <c r="O640" s="11" t="s">
        <v>28</v>
      </c>
      <c r="P640" s="11" t="s">
        <v>52</v>
      </c>
      <c r="Q640" s="12" t="s">
        <v>2183</v>
      </c>
    </row>
    <row r="641" customFormat="false" ht="43.25" hidden="false" customHeight="false" outlineLevel="0" collapsed="false">
      <c r="A641" s="11" t="s">
        <v>2682</v>
      </c>
      <c r="B641" s="11" t="s">
        <v>15</v>
      </c>
      <c r="C641" s="11" t="s">
        <v>2094</v>
      </c>
      <c r="D641" s="12" t="s">
        <v>2683</v>
      </c>
      <c r="E641" s="12" t="s">
        <v>2684</v>
      </c>
      <c r="F641" s="12" t="s">
        <v>2685</v>
      </c>
      <c r="G641" s="11" t="s">
        <v>8</v>
      </c>
      <c r="H641" s="11" t="s">
        <v>8</v>
      </c>
      <c r="I641" s="13" t="n">
        <v>0.55</v>
      </c>
      <c r="J641" s="11" t="s">
        <v>49</v>
      </c>
      <c r="K641" s="12" t="s">
        <v>2686</v>
      </c>
      <c r="L641" s="12" t="s">
        <v>2687</v>
      </c>
      <c r="M641" s="11" t="s">
        <v>1809</v>
      </c>
      <c r="N641" s="12" t="s">
        <v>51</v>
      </c>
      <c r="O641" s="11" t="s">
        <v>28</v>
      </c>
      <c r="P641" s="11" t="s">
        <v>52</v>
      </c>
      <c r="Q641" s="12" t="s">
        <v>2183</v>
      </c>
    </row>
    <row r="642" customFormat="false" ht="32.8" hidden="false" customHeight="false" outlineLevel="0" collapsed="false">
      <c r="A642" s="11" t="s">
        <v>2688</v>
      </c>
      <c r="B642" s="11" t="s">
        <v>15</v>
      </c>
      <c r="C642" s="11" t="s">
        <v>2094</v>
      </c>
      <c r="D642" s="12" t="s">
        <v>2689</v>
      </c>
      <c r="E642" s="12" t="s">
        <v>2690</v>
      </c>
      <c r="F642" s="12" t="s">
        <v>2691</v>
      </c>
      <c r="G642" s="11" t="s">
        <v>8</v>
      </c>
      <c r="H642" s="11" t="s">
        <v>8</v>
      </c>
      <c r="I642" s="13" t="n">
        <v>0.225</v>
      </c>
      <c r="J642" s="11" t="s">
        <v>49</v>
      </c>
      <c r="K642" s="12" t="s">
        <v>2692</v>
      </c>
      <c r="L642" s="12" t="s">
        <v>2693</v>
      </c>
      <c r="M642" s="11" t="s">
        <v>1809</v>
      </c>
      <c r="N642" s="12" t="s">
        <v>51</v>
      </c>
      <c r="O642" s="11" t="s">
        <v>28</v>
      </c>
      <c r="P642" s="11" t="s">
        <v>52</v>
      </c>
      <c r="Q642" s="12" t="s">
        <v>2183</v>
      </c>
    </row>
    <row r="643" customFormat="false" ht="53.7" hidden="false" customHeight="false" outlineLevel="0" collapsed="false">
      <c r="A643" s="11" t="s">
        <v>2694</v>
      </c>
      <c r="B643" s="11" t="s">
        <v>15</v>
      </c>
      <c r="C643" s="11" t="s">
        <v>2421</v>
      </c>
      <c r="D643" s="12" t="s">
        <v>2695</v>
      </c>
      <c r="E643" s="12" t="s">
        <v>2696</v>
      </c>
      <c r="F643" s="12" t="s">
        <v>2697</v>
      </c>
      <c r="G643" s="11" t="s">
        <v>2425</v>
      </c>
      <c r="H643" s="11" t="s">
        <v>10</v>
      </c>
      <c r="I643" s="13" t="n">
        <v>0.482758620689655</v>
      </c>
      <c r="J643" s="11" t="s">
        <v>49</v>
      </c>
      <c r="K643" s="12" t="s">
        <v>2698</v>
      </c>
      <c r="L643" s="12" t="s">
        <v>2699</v>
      </c>
      <c r="M643" s="11" t="s">
        <v>1809</v>
      </c>
      <c r="N643" s="12" t="s">
        <v>51</v>
      </c>
      <c r="O643" s="11" t="s">
        <v>28</v>
      </c>
      <c r="P643" s="11" t="s">
        <v>52</v>
      </c>
      <c r="Q643" s="12" t="s">
        <v>1910</v>
      </c>
    </row>
    <row r="644" customFormat="false" ht="22.35" hidden="false" customHeight="false" outlineLevel="0" collapsed="false">
      <c r="A644" s="11" t="s">
        <v>2700</v>
      </c>
      <c r="B644" s="11" t="s">
        <v>15</v>
      </c>
      <c r="C644" s="11" t="s">
        <v>2421</v>
      </c>
      <c r="D644" s="12" t="s">
        <v>2701</v>
      </c>
      <c r="E644" s="12" t="s">
        <v>2702</v>
      </c>
      <c r="F644" s="12" t="s">
        <v>2701</v>
      </c>
      <c r="G644" s="11" t="s">
        <v>2425</v>
      </c>
      <c r="H644" s="11" t="s">
        <v>10</v>
      </c>
      <c r="I644" s="13" t="n">
        <v>0.870967741935484</v>
      </c>
      <c r="J644" s="11" t="s">
        <v>49</v>
      </c>
      <c r="K644" s="12" t="s">
        <v>2703</v>
      </c>
      <c r="L644" s="12" t="s">
        <v>2704</v>
      </c>
      <c r="M644" s="11" t="s">
        <v>1809</v>
      </c>
      <c r="N644" s="12" t="s">
        <v>51</v>
      </c>
      <c r="O644" s="11" t="s">
        <v>28</v>
      </c>
      <c r="P644" s="11" t="s">
        <v>52</v>
      </c>
      <c r="Q644" s="12" t="s">
        <v>1910</v>
      </c>
    </row>
    <row r="645" customFormat="false" ht="32.8" hidden="false" customHeight="false" outlineLevel="0" collapsed="false">
      <c r="A645" s="11" t="s">
        <v>2705</v>
      </c>
      <c r="B645" s="11" t="s">
        <v>15</v>
      </c>
      <c r="C645" s="11" t="s">
        <v>2094</v>
      </c>
      <c r="D645" s="12" t="s">
        <v>2706</v>
      </c>
      <c r="E645" s="12" t="s">
        <v>2707</v>
      </c>
      <c r="F645" s="12" t="s">
        <v>2708</v>
      </c>
      <c r="G645" s="11" t="s">
        <v>2709</v>
      </c>
      <c r="H645" s="11" t="s">
        <v>4</v>
      </c>
      <c r="I645" s="13" t="n">
        <v>1</v>
      </c>
      <c r="J645" s="11" t="s">
        <v>49</v>
      </c>
      <c r="K645" s="12" t="s">
        <v>2710</v>
      </c>
      <c r="L645" s="12"/>
      <c r="M645" s="11" t="s">
        <v>1643</v>
      </c>
      <c r="N645" s="12" t="s">
        <v>51</v>
      </c>
      <c r="O645" s="11" t="s">
        <v>27</v>
      </c>
      <c r="P645" s="11" t="s">
        <v>52</v>
      </c>
      <c r="Q645" s="12"/>
    </row>
    <row r="646" customFormat="false" ht="22.35" hidden="false" customHeight="false" outlineLevel="0" collapsed="false">
      <c r="A646" s="11" t="s">
        <v>2711</v>
      </c>
      <c r="B646" s="11" t="s">
        <v>15</v>
      </c>
      <c r="C646" s="11" t="s">
        <v>2094</v>
      </c>
      <c r="D646" s="12" t="s">
        <v>2712</v>
      </c>
      <c r="E646" s="12" t="s">
        <v>2713</v>
      </c>
      <c r="F646" s="12" t="s">
        <v>2714</v>
      </c>
      <c r="G646" s="11" t="s">
        <v>2709</v>
      </c>
      <c r="H646" s="11" t="s">
        <v>4</v>
      </c>
      <c r="I646" s="13" t="n">
        <v>0.65</v>
      </c>
      <c r="J646" s="11" t="s">
        <v>49</v>
      </c>
      <c r="K646" s="12" t="s">
        <v>2715</v>
      </c>
      <c r="L646" s="12" t="s">
        <v>2716</v>
      </c>
      <c r="M646" s="11" t="s">
        <v>1643</v>
      </c>
      <c r="N646" s="12" t="s">
        <v>51</v>
      </c>
      <c r="O646" s="11" t="s">
        <v>27</v>
      </c>
      <c r="P646" s="11" t="s">
        <v>52</v>
      </c>
      <c r="Q646" s="12"/>
    </row>
    <row r="647" customFormat="false" ht="22.35" hidden="false" customHeight="false" outlineLevel="0" collapsed="false">
      <c r="A647" s="11" t="s">
        <v>2717</v>
      </c>
      <c r="B647" s="11" t="s">
        <v>15</v>
      </c>
      <c r="C647" s="11" t="s">
        <v>2094</v>
      </c>
      <c r="D647" s="12" t="s">
        <v>2718</v>
      </c>
      <c r="E647" s="12" t="s">
        <v>2719</v>
      </c>
      <c r="F647" s="12" t="s">
        <v>2718</v>
      </c>
      <c r="G647" s="11" t="s">
        <v>2098</v>
      </c>
      <c r="H647" s="11" t="s">
        <v>4</v>
      </c>
      <c r="I647" s="13" t="n">
        <v>0.625</v>
      </c>
      <c r="J647" s="11" t="s">
        <v>49</v>
      </c>
      <c r="K647" s="12" t="s">
        <v>2720</v>
      </c>
      <c r="L647" s="12" t="s">
        <v>2721</v>
      </c>
      <c r="M647" s="11" t="s">
        <v>1643</v>
      </c>
      <c r="N647" s="12" t="s">
        <v>51</v>
      </c>
      <c r="O647" s="11" t="s">
        <v>27</v>
      </c>
      <c r="P647" s="11" t="s">
        <v>52</v>
      </c>
      <c r="Q647" s="12"/>
    </row>
    <row r="648" customFormat="false" ht="32.8" hidden="false" customHeight="false" outlineLevel="0" collapsed="false">
      <c r="A648" s="11" t="s">
        <v>2722</v>
      </c>
      <c r="B648" s="11" t="s">
        <v>15</v>
      </c>
      <c r="C648" s="11" t="s">
        <v>2094</v>
      </c>
      <c r="D648" s="12" t="s">
        <v>2723</v>
      </c>
      <c r="E648" s="12" t="s">
        <v>2724</v>
      </c>
      <c r="F648" s="12" t="s">
        <v>2723</v>
      </c>
      <c r="G648" s="11" t="s">
        <v>2709</v>
      </c>
      <c r="H648" s="11" t="s">
        <v>4</v>
      </c>
      <c r="I648" s="13" t="n">
        <v>0.666666666666667</v>
      </c>
      <c r="J648" s="11" t="s">
        <v>49</v>
      </c>
      <c r="K648" s="12" t="s">
        <v>2725</v>
      </c>
      <c r="L648" s="12" t="s">
        <v>2726</v>
      </c>
      <c r="M648" s="11" t="s">
        <v>1643</v>
      </c>
      <c r="N648" s="12" t="s">
        <v>51</v>
      </c>
      <c r="O648" s="11" t="s">
        <v>27</v>
      </c>
      <c r="P648" s="11" t="s">
        <v>52</v>
      </c>
      <c r="Q648" s="12"/>
    </row>
    <row r="649" customFormat="false" ht="32.8" hidden="false" customHeight="false" outlineLevel="0" collapsed="false">
      <c r="A649" s="11" t="s">
        <v>2727</v>
      </c>
      <c r="B649" s="11" t="s">
        <v>15</v>
      </c>
      <c r="C649" s="11" t="s">
        <v>2094</v>
      </c>
      <c r="D649" s="12" t="s">
        <v>2728</v>
      </c>
      <c r="E649" s="12" t="s">
        <v>2729</v>
      </c>
      <c r="F649" s="12" t="s">
        <v>2728</v>
      </c>
      <c r="G649" s="11" t="s">
        <v>2709</v>
      </c>
      <c r="H649" s="11" t="s">
        <v>4</v>
      </c>
      <c r="I649" s="13" t="n">
        <v>0.64</v>
      </c>
      <c r="J649" s="11" t="s">
        <v>49</v>
      </c>
      <c r="K649" s="12" t="s">
        <v>2730</v>
      </c>
      <c r="L649" s="12" t="s">
        <v>2731</v>
      </c>
      <c r="M649" s="11" t="s">
        <v>1643</v>
      </c>
      <c r="N649" s="12" t="s">
        <v>51</v>
      </c>
      <c r="O649" s="11" t="s">
        <v>27</v>
      </c>
      <c r="P649" s="11" t="s">
        <v>52</v>
      </c>
      <c r="Q649" s="12"/>
    </row>
    <row r="650" customFormat="false" ht="32.8" hidden="false" customHeight="false" outlineLevel="0" collapsed="false">
      <c r="A650" s="11" t="s">
        <v>2732</v>
      </c>
      <c r="B650" s="11" t="s">
        <v>15</v>
      </c>
      <c r="C650" s="11" t="s">
        <v>2094</v>
      </c>
      <c r="D650" s="12" t="s">
        <v>2733</v>
      </c>
      <c r="E650" s="12" t="s">
        <v>2734</v>
      </c>
      <c r="F650" s="12" t="s">
        <v>2735</v>
      </c>
      <c r="G650" s="11" t="s">
        <v>2709</v>
      </c>
      <c r="H650" s="11" t="s">
        <v>4</v>
      </c>
      <c r="I650" s="13" t="n">
        <v>0.607142857142857</v>
      </c>
      <c r="J650" s="11" t="s">
        <v>49</v>
      </c>
      <c r="K650" s="12" t="s">
        <v>2736</v>
      </c>
      <c r="L650" s="12" t="s">
        <v>2737</v>
      </c>
      <c r="M650" s="11" t="s">
        <v>1643</v>
      </c>
      <c r="N650" s="12" t="s">
        <v>51</v>
      </c>
      <c r="O650" s="11" t="s">
        <v>27</v>
      </c>
      <c r="P650" s="11" t="s">
        <v>52</v>
      </c>
      <c r="Q650" s="12"/>
    </row>
    <row r="651" customFormat="false" ht="22.35" hidden="false" customHeight="false" outlineLevel="0" collapsed="false">
      <c r="A651" s="11" t="s">
        <v>2738</v>
      </c>
      <c r="B651" s="11" t="s">
        <v>15</v>
      </c>
      <c r="C651" s="11" t="s">
        <v>2421</v>
      </c>
      <c r="D651" s="12" t="s">
        <v>2739</v>
      </c>
      <c r="E651" s="12" t="s">
        <v>2740</v>
      </c>
      <c r="F651" s="12" t="s">
        <v>2739</v>
      </c>
      <c r="G651" s="11" t="s">
        <v>2425</v>
      </c>
      <c r="H651" s="11" t="s">
        <v>10</v>
      </c>
      <c r="I651" s="13"/>
      <c r="J651" s="11" t="s">
        <v>49</v>
      </c>
      <c r="K651" s="12"/>
      <c r="L651" s="12"/>
      <c r="M651" s="11" t="s">
        <v>1809</v>
      </c>
      <c r="N651" s="12" t="s">
        <v>51</v>
      </c>
      <c r="O651" s="11" t="s">
        <v>28</v>
      </c>
      <c r="P651" s="11" t="s">
        <v>52</v>
      </c>
      <c r="Q651" s="12" t="s">
        <v>1910</v>
      </c>
    </row>
    <row r="652" customFormat="false" ht="22.35" hidden="false" customHeight="false" outlineLevel="0" collapsed="false">
      <c r="A652" s="11" t="s">
        <v>2741</v>
      </c>
      <c r="B652" s="11" t="s">
        <v>15</v>
      </c>
      <c r="C652" s="11" t="s">
        <v>2094</v>
      </c>
      <c r="D652" s="12" t="s">
        <v>2742</v>
      </c>
      <c r="E652" s="12" t="s">
        <v>2743</v>
      </c>
      <c r="F652" s="12" t="s">
        <v>2742</v>
      </c>
      <c r="G652" s="11" t="s">
        <v>1775</v>
      </c>
      <c r="H652" s="11" t="s">
        <v>4</v>
      </c>
      <c r="I652" s="13" t="n">
        <v>0.6</v>
      </c>
      <c r="J652" s="11" t="s">
        <v>49</v>
      </c>
      <c r="K652" s="12" t="s">
        <v>2744</v>
      </c>
      <c r="L652" s="12" t="s">
        <v>2745</v>
      </c>
      <c r="M652" s="11" t="s">
        <v>1643</v>
      </c>
      <c r="N652" s="12" t="s">
        <v>51</v>
      </c>
      <c r="O652" s="11" t="s">
        <v>27</v>
      </c>
      <c r="P652" s="11" t="s">
        <v>52</v>
      </c>
      <c r="Q652" s="12"/>
    </row>
    <row r="653" customFormat="false" ht="15" hidden="false" customHeight="false" outlineLevel="0" collapsed="false">
      <c r="A653" s="11" t="s">
        <v>2746</v>
      </c>
      <c r="B653" s="11" t="s">
        <v>15</v>
      </c>
      <c r="C653" s="11" t="s">
        <v>2094</v>
      </c>
      <c r="D653" s="12" t="s">
        <v>2747</v>
      </c>
      <c r="E653" s="12" t="s">
        <v>2748</v>
      </c>
      <c r="F653" s="12" t="s">
        <v>2747</v>
      </c>
      <c r="G653" s="11" t="s">
        <v>2709</v>
      </c>
      <c r="H653" s="11" t="s">
        <v>4</v>
      </c>
      <c r="I653" s="13" t="n">
        <v>1</v>
      </c>
      <c r="J653" s="11" t="s">
        <v>49</v>
      </c>
      <c r="K653" s="12"/>
      <c r="L653" s="12"/>
      <c r="M653" s="11" t="s">
        <v>1643</v>
      </c>
      <c r="N653" s="12" t="s">
        <v>51</v>
      </c>
      <c r="O653" s="11" t="s">
        <v>27</v>
      </c>
      <c r="P653" s="11" t="s">
        <v>52</v>
      </c>
      <c r="Q653" s="12"/>
    </row>
    <row r="654" customFormat="false" ht="22.35" hidden="false" customHeight="false" outlineLevel="0" collapsed="false">
      <c r="A654" s="11" t="s">
        <v>2749</v>
      </c>
      <c r="B654" s="11" t="s">
        <v>15</v>
      </c>
      <c r="C654" s="11" t="s">
        <v>2094</v>
      </c>
      <c r="D654" s="12" t="s">
        <v>2750</v>
      </c>
      <c r="E654" s="12" t="s">
        <v>2751</v>
      </c>
      <c r="F654" s="12" t="s">
        <v>2750</v>
      </c>
      <c r="G654" s="11" t="s">
        <v>2709</v>
      </c>
      <c r="H654" s="11" t="s">
        <v>4</v>
      </c>
      <c r="I654" s="13" t="n">
        <v>0.875</v>
      </c>
      <c r="J654" s="11" t="s">
        <v>49</v>
      </c>
      <c r="K654" s="12" t="s">
        <v>2752</v>
      </c>
      <c r="L654" s="12" t="s">
        <v>2753</v>
      </c>
      <c r="M654" s="11" t="s">
        <v>1643</v>
      </c>
      <c r="N654" s="12" t="s">
        <v>51</v>
      </c>
      <c r="O654" s="11" t="s">
        <v>27</v>
      </c>
      <c r="P654" s="11" t="s">
        <v>52</v>
      </c>
      <c r="Q654" s="12"/>
    </row>
    <row r="655" customFormat="false" ht="43.25" hidden="false" customHeight="false" outlineLevel="0" collapsed="false">
      <c r="A655" s="11" t="s">
        <v>2754</v>
      </c>
      <c r="B655" s="11" t="s">
        <v>15</v>
      </c>
      <c r="C655" s="11" t="s">
        <v>2094</v>
      </c>
      <c r="D655" s="12" t="s">
        <v>2755</v>
      </c>
      <c r="E655" s="12" t="s">
        <v>2756</v>
      </c>
      <c r="F655" s="12" t="s">
        <v>2757</v>
      </c>
      <c r="G655" s="11" t="s">
        <v>1775</v>
      </c>
      <c r="H655" s="11" t="s">
        <v>5</v>
      </c>
      <c r="I655" s="13" t="n">
        <v>0.525</v>
      </c>
      <c r="J655" s="11" t="s">
        <v>49</v>
      </c>
      <c r="K655" s="12" t="s">
        <v>2758</v>
      </c>
      <c r="L655" s="12" t="s">
        <v>2759</v>
      </c>
      <c r="M655" s="11" t="s">
        <v>1643</v>
      </c>
      <c r="N655" s="12" t="s">
        <v>2760</v>
      </c>
      <c r="O655" s="11" t="s">
        <v>25</v>
      </c>
      <c r="P655" s="11" t="s">
        <v>52</v>
      </c>
      <c r="Q655" s="12"/>
    </row>
    <row r="656" customFormat="false" ht="53.7" hidden="false" customHeight="false" outlineLevel="0" collapsed="false">
      <c r="A656" s="11" t="s">
        <v>2761</v>
      </c>
      <c r="B656" s="11" t="s">
        <v>15</v>
      </c>
      <c r="C656" s="11" t="s">
        <v>2094</v>
      </c>
      <c r="D656" s="12" t="s">
        <v>2762</v>
      </c>
      <c r="E656" s="12" t="s">
        <v>2763</v>
      </c>
      <c r="F656" s="12" t="s">
        <v>2762</v>
      </c>
      <c r="G656" s="11" t="s">
        <v>2709</v>
      </c>
      <c r="H656" s="11" t="s">
        <v>4</v>
      </c>
      <c r="I656" s="13" t="n">
        <v>0.625</v>
      </c>
      <c r="J656" s="11" t="s">
        <v>49</v>
      </c>
      <c r="K656" s="12" t="s">
        <v>2764</v>
      </c>
      <c r="L656" s="12" t="s">
        <v>2765</v>
      </c>
      <c r="M656" s="11" t="s">
        <v>1643</v>
      </c>
      <c r="N656" s="12" t="s">
        <v>51</v>
      </c>
      <c r="O656" s="11" t="s">
        <v>27</v>
      </c>
      <c r="P656" s="11" t="s">
        <v>52</v>
      </c>
      <c r="Q656" s="12"/>
    </row>
    <row r="657" customFormat="false" ht="22.35" hidden="false" customHeight="false" outlineLevel="0" collapsed="false">
      <c r="A657" s="11" t="s">
        <v>2766</v>
      </c>
      <c r="B657" s="11" t="s">
        <v>15</v>
      </c>
      <c r="C657" s="11" t="s">
        <v>2421</v>
      </c>
      <c r="D657" s="12" t="s">
        <v>2767</v>
      </c>
      <c r="E657" s="12" t="s">
        <v>2768</v>
      </c>
      <c r="F657" s="12" t="s">
        <v>2767</v>
      </c>
      <c r="G657" s="11" t="s">
        <v>2425</v>
      </c>
      <c r="H657" s="11" t="s">
        <v>10</v>
      </c>
      <c r="I657" s="13" t="n">
        <v>1</v>
      </c>
      <c r="J657" s="11" t="s">
        <v>49</v>
      </c>
      <c r="K657" s="12" t="s">
        <v>2769</v>
      </c>
      <c r="L657" s="12"/>
      <c r="M657" s="11" t="s">
        <v>1809</v>
      </c>
      <c r="N657" s="12" t="s">
        <v>51</v>
      </c>
      <c r="O657" s="11" t="s">
        <v>28</v>
      </c>
      <c r="P657" s="11" t="s">
        <v>52</v>
      </c>
      <c r="Q657" s="12" t="s">
        <v>1910</v>
      </c>
    </row>
    <row r="658" customFormat="false" ht="32.8" hidden="false" customHeight="false" outlineLevel="0" collapsed="false">
      <c r="A658" s="11" t="s">
        <v>2770</v>
      </c>
      <c r="B658" s="11" t="s">
        <v>15</v>
      </c>
      <c r="C658" s="11" t="s">
        <v>2094</v>
      </c>
      <c r="D658" s="12" t="s">
        <v>2771</v>
      </c>
      <c r="E658" s="12" t="s">
        <v>2772</v>
      </c>
      <c r="F658" s="12" t="s">
        <v>2771</v>
      </c>
      <c r="G658" s="11" t="s">
        <v>2709</v>
      </c>
      <c r="H658" s="11" t="s">
        <v>4</v>
      </c>
      <c r="I658" s="13" t="n">
        <v>0.825</v>
      </c>
      <c r="J658" s="11" t="s">
        <v>49</v>
      </c>
      <c r="K658" s="12" t="s">
        <v>2773</v>
      </c>
      <c r="L658" s="12" t="s">
        <v>2774</v>
      </c>
      <c r="M658" s="11" t="s">
        <v>1643</v>
      </c>
      <c r="N658" s="12" t="s">
        <v>51</v>
      </c>
      <c r="O658" s="11" t="s">
        <v>27</v>
      </c>
      <c r="P658" s="11" t="s">
        <v>52</v>
      </c>
      <c r="Q658" s="12"/>
    </row>
    <row r="659" customFormat="false" ht="53.7" hidden="false" customHeight="false" outlineLevel="0" collapsed="false">
      <c r="A659" s="11" t="s">
        <v>2775</v>
      </c>
      <c r="B659" s="11" t="s">
        <v>15</v>
      </c>
      <c r="C659" s="11" t="s">
        <v>2421</v>
      </c>
      <c r="D659" s="12" t="s">
        <v>2776</v>
      </c>
      <c r="E659" s="12" t="s">
        <v>2777</v>
      </c>
      <c r="F659" s="12" t="s">
        <v>2776</v>
      </c>
      <c r="G659" s="11" t="s">
        <v>2425</v>
      </c>
      <c r="H659" s="11" t="s">
        <v>10</v>
      </c>
      <c r="I659" s="13" t="n">
        <v>0.421052631578947</v>
      </c>
      <c r="J659" s="11" t="s">
        <v>49</v>
      </c>
      <c r="K659" s="12" t="s">
        <v>2778</v>
      </c>
      <c r="L659" s="12" t="s">
        <v>2779</v>
      </c>
      <c r="M659" s="11" t="s">
        <v>1809</v>
      </c>
      <c r="N659" s="12" t="s">
        <v>51</v>
      </c>
      <c r="O659" s="11" t="s">
        <v>28</v>
      </c>
      <c r="P659" s="11" t="s">
        <v>52</v>
      </c>
      <c r="Q659" s="12" t="s">
        <v>1910</v>
      </c>
    </row>
    <row r="660" customFormat="false" ht="53.7" hidden="false" customHeight="false" outlineLevel="0" collapsed="false">
      <c r="A660" s="11" t="s">
        <v>2780</v>
      </c>
      <c r="B660" s="11" t="s">
        <v>15</v>
      </c>
      <c r="C660" s="11" t="s">
        <v>2421</v>
      </c>
      <c r="D660" s="12" t="s">
        <v>2781</v>
      </c>
      <c r="E660" s="12" t="s">
        <v>2782</v>
      </c>
      <c r="F660" s="12" t="s">
        <v>2783</v>
      </c>
      <c r="G660" s="11" t="s">
        <v>2425</v>
      </c>
      <c r="H660" s="11" t="s">
        <v>10</v>
      </c>
      <c r="I660" s="13" t="n">
        <v>0.454545454545455</v>
      </c>
      <c r="J660" s="11" t="s">
        <v>49</v>
      </c>
      <c r="K660" s="12" t="s">
        <v>2784</v>
      </c>
      <c r="L660" s="12" t="s">
        <v>2785</v>
      </c>
      <c r="M660" s="11" t="s">
        <v>1809</v>
      </c>
      <c r="N660" s="12" t="s">
        <v>51</v>
      </c>
      <c r="O660" s="11" t="s">
        <v>28</v>
      </c>
      <c r="P660" s="11" t="s">
        <v>52</v>
      </c>
      <c r="Q660" s="12" t="s">
        <v>1910</v>
      </c>
    </row>
    <row r="661" customFormat="false" ht="32.8" hidden="false" customHeight="false" outlineLevel="0" collapsed="false">
      <c r="A661" s="11" t="s">
        <v>2786</v>
      </c>
      <c r="B661" s="11" t="s">
        <v>15</v>
      </c>
      <c r="C661" s="11" t="s">
        <v>2094</v>
      </c>
      <c r="D661" s="12" t="s">
        <v>2787</v>
      </c>
      <c r="E661" s="12" t="s">
        <v>2788</v>
      </c>
      <c r="F661" s="12" t="s">
        <v>2789</v>
      </c>
      <c r="G661" s="11" t="s">
        <v>2709</v>
      </c>
      <c r="H661" s="11" t="s">
        <v>4</v>
      </c>
      <c r="I661" s="13" t="n">
        <v>0.85</v>
      </c>
      <c r="J661" s="11" t="s">
        <v>49</v>
      </c>
      <c r="K661" s="12" t="s">
        <v>2790</v>
      </c>
      <c r="L661" s="12" t="s">
        <v>2791</v>
      </c>
      <c r="M661" s="11" t="s">
        <v>1643</v>
      </c>
      <c r="N661" s="12" t="s">
        <v>51</v>
      </c>
      <c r="O661" s="11" t="s">
        <v>27</v>
      </c>
      <c r="P661" s="11" t="s">
        <v>52</v>
      </c>
      <c r="Q661" s="12"/>
    </row>
    <row r="662" customFormat="false" ht="22.35" hidden="false" customHeight="false" outlineLevel="0" collapsed="false">
      <c r="A662" s="11" t="s">
        <v>2792</v>
      </c>
      <c r="B662" s="11" t="s">
        <v>16</v>
      </c>
      <c r="C662" s="11" t="s">
        <v>2793</v>
      </c>
      <c r="D662" s="12" t="s">
        <v>2794</v>
      </c>
      <c r="E662" s="12" t="s">
        <v>2795</v>
      </c>
      <c r="F662" s="12" t="s">
        <v>2794</v>
      </c>
      <c r="G662" s="11" t="s">
        <v>2098</v>
      </c>
      <c r="H662" s="11" t="s">
        <v>4</v>
      </c>
      <c r="I662" s="13" t="n">
        <v>0.666666666666667</v>
      </c>
      <c r="J662" s="11" t="s">
        <v>49</v>
      </c>
      <c r="K662" s="12" t="s">
        <v>2796</v>
      </c>
      <c r="L662" s="12" t="s">
        <v>2797</v>
      </c>
      <c r="M662" s="11" t="s">
        <v>1643</v>
      </c>
      <c r="N662" s="12" t="s">
        <v>51</v>
      </c>
      <c r="O662" s="11" t="s">
        <v>27</v>
      </c>
      <c r="P662" s="11" t="s">
        <v>52</v>
      </c>
      <c r="Q662" s="12"/>
    </row>
    <row r="663" customFormat="false" ht="64.15" hidden="false" customHeight="false" outlineLevel="0" collapsed="false">
      <c r="A663" s="11" t="s">
        <v>2798</v>
      </c>
      <c r="B663" s="11" t="s">
        <v>16</v>
      </c>
      <c r="C663" s="11" t="s">
        <v>2799</v>
      </c>
      <c r="D663" s="12" t="s">
        <v>2800</v>
      </c>
      <c r="E663" s="12" t="s">
        <v>2801</v>
      </c>
      <c r="F663" s="12" t="s">
        <v>2800</v>
      </c>
      <c r="G663" s="11" t="s">
        <v>1775</v>
      </c>
      <c r="H663" s="11" t="s">
        <v>4</v>
      </c>
      <c r="I663" s="13" t="n">
        <v>0.625</v>
      </c>
      <c r="J663" s="11" t="s">
        <v>49</v>
      </c>
      <c r="K663" s="12" t="s">
        <v>2802</v>
      </c>
      <c r="L663" s="12" t="s">
        <v>2803</v>
      </c>
      <c r="M663" s="11" t="s">
        <v>1643</v>
      </c>
      <c r="N663" s="12" t="s">
        <v>51</v>
      </c>
      <c r="O663" s="11" t="s">
        <v>27</v>
      </c>
      <c r="P663" s="11" t="s">
        <v>52</v>
      </c>
      <c r="Q663" s="12"/>
    </row>
    <row r="664" customFormat="false" ht="43.25" hidden="false" customHeight="false" outlineLevel="0" collapsed="false">
      <c r="A664" s="11" t="s">
        <v>2804</v>
      </c>
      <c r="B664" s="11" t="s">
        <v>16</v>
      </c>
      <c r="C664" s="11" t="s">
        <v>2799</v>
      </c>
      <c r="D664" s="12" t="s">
        <v>2805</v>
      </c>
      <c r="E664" s="12" t="s">
        <v>2806</v>
      </c>
      <c r="F664" s="12" t="s">
        <v>2805</v>
      </c>
      <c r="G664" s="11" t="s">
        <v>1775</v>
      </c>
      <c r="H664" s="11" t="s">
        <v>5</v>
      </c>
      <c r="I664" s="13" t="n">
        <v>0.5</v>
      </c>
      <c r="J664" s="11" t="s">
        <v>49</v>
      </c>
      <c r="K664" s="12" t="s">
        <v>2807</v>
      </c>
      <c r="L664" s="12" t="s">
        <v>2808</v>
      </c>
      <c r="M664" s="11" t="s">
        <v>1643</v>
      </c>
      <c r="N664" s="12" t="s">
        <v>2809</v>
      </c>
      <c r="O664" s="11" t="s">
        <v>25</v>
      </c>
      <c r="P664" s="11" t="s">
        <v>52</v>
      </c>
      <c r="Q664" s="12"/>
    </row>
    <row r="665" customFormat="false" ht="32.8" hidden="false" customHeight="false" outlineLevel="0" collapsed="false">
      <c r="A665" s="11" t="s">
        <v>2810</v>
      </c>
      <c r="B665" s="11" t="s">
        <v>16</v>
      </c>
      <c r="C665" s="11" t="s">
        <v>2799</v>
      </c>
      <c r="D665" s="12" t="s">
        <v>2811</v>
      </c>
      <c r="E665" s="12" t="s">
        <v>2812</v>
      </c>
      <c r="F665" s="12" t="s">
        <v>2811</v>
      </c>
      <c r="G665" s="11" t="s">
        <v>1775</v>
      </c>
      <c r="H665" s="11" t="s">
        <v>4</v>
      </c>
      <c r="I665" s="13" t="n">
        <v>0.588235294117647</v>
      </c>
      <c r="J665" s="11" t="s">
        <v>49</v>
      </c>
      <c r="K665" s="12" t="s">
        <v>2813</v>
      </c>
      <c r="L665" s="12" t="s">
        <v>2814</v>
      </c>
      <c r="M665" s="11" t="s">
        <v>1643</v>
      </c>
      <c r="N665" s="12" t="s">
        <v>51</v>
      </c>
      <c r="O665" s="11" t="s">
        <v>27</v>
      </c>
      <c r="P665" s="11" t="s">
        <v>52</v>
      </c>
      <c r="Q665" s="12"/>
    </row>
    <row r="666" customFormat="false" ht="22.35" hidden="false" customHeight="false" outlineLevel="0" collapsed="false">
      <c r="A666" s="11" t="s">
        <v>2815</v>
      </c>
      <c r="B666" s="11" t="s">
        <v>16</v>
      </c>
      <c r="C666" s="11" t="s">
        <v>2799</v>
      </c>
      <c r="D666" s="12" t="s">
        <v>2750</v>
      </c>
      <c r="E666" s="12" t="s">
        <v>2816</v>
      </c>
      <c r="F666" s="12" t="s">
        <v>2750</v>
      </c>
      <c r="G666" s="11" t="s">
        <v>1775</v>
      </c>
      <c r="H666" s="11" t="s">
        <v>4</v>
      </c>
      <c r="I666" s="13" t="n">
        <v>1</v>
      </c>
      <c r="J666" s="11" t="s">
        <v>49</v>
      </c>
      <c r="K666" s="12" t="s">
        <v>2817</v>
      </c>
      <c r="L666" s="12"/>
      <c r="M666" s="11" t="s">
        <v>1643</v>
      </c>
      <c r="N666" s="12" t="s">
        <v>51</v>
      </c>
      <c r="O666" s="11" t="s">
        <v>27</v>
      </c>
      <c r="P666" s="11" t="s">
        <v>52</v>
      </c>
      <c r="Q666" s="12"/>
    </row>
    <row r="667" customFormat="false" ht="32.8" hidden="false" customHeight="false" outlineLevel="0" collapsed="false">
      <c r="A667" s="11" t="s">
        <v>2818</v>
      </c>
      <c r="B667" s="11" t="s">
        <v>16</v>
      </c>
      <c r="C667" s="11" t="s">
        <v>2819</v>
      </c>
      <c r="D667" s="12" t="s">
        <v>2820</v>
      </c>
      <c r="E667" s="12" t="s">
        <v>2821</v>
      </c>
      <c r="F667" s="12" t="s">
        <v>2822</v>
      </c>
      <c r="G667" s="11" t="s">
        <v>2823</v>
      </c>
      <c r="H667" s="11" t="s">
        <v>4</v>
      </c>
      <c r="I667" s="13" t="n">
        <v>0.615384615384615</v>
      </c>
      <c r="J667" s="11" t="s">
        <v>49</v>
      </c>
      <c r="K667" s="12" t="s">
        <v>2824</v>
      </c>
      <c r="L667" s="12" t="s">
        <v>2825</v>
      </c>
      <c r="M667" s="11" t="s">
        <v>1643</v>
      </c>
      <c r="N667" s="12" t="s">
        <v>51</v>
      </c>
      <c r="O667" s="11" t="s">
        <v>27</v>
      </c>
      <c r="P667" s="11" t="s">
        <v>52</v>
      </c>
      <c r="Q667" s="12"/>
    </row>
    <row r="668" customFormat="false" ht="32.8" hidden="false" customHeight="false" outlineLevel="0" collapsed="false">
      <c r="A668" s="11" t="s">
        <v>2826</v>
      </c>
      <c r="B668" s="11" t="s">
        <v>16</v>
      </c>
      <c r="C668" s="11" t="s">
        <v>2819</v>
      </c>
      <c r="D668" s="12" t="s">
        <v>2827</v>
      </c>
      <c r="E668" s="12" t="s">
        <v>2828</v>
      </c>
      <c r="F668" s="12" t="s">
        <v>2829</v>
      </c>
      <c r="G668" s="11" t="s">
        <v>2823</v>
      </c>
      <c r="H668" s="11" t="s">
        <v>4</v>
      </c>
      <c r="I668" s="13" t="n">
        <v>1</v>
      </c>
      <c r="J668" s="11" t="s">
        <v>49</v>
      </c>
      <c r="K668" s="12" t="s">
        <v>2830</v>
      </c>
      <c r="L668" s="12"/>
      <c r="M668" s="11" t="s">
        <v>1643</v>
      </c>
      <c r="N668" s="12" t="s">
        <v>51</v>
      </c>
      <c r="O668" s="11" t="s">
        <v>27</v>
      </c>
      <c r="P668" s="11" t="s">
        <v>52</v>
      </c>
      <c r="Q668" s="12"/>
    </row>
    <row r="669" customFormat="false" ht="22.35" hidden="false" customHeight="false" outlineLevel="0" collapsed="false">
      <c r="A669" s="11" t="s">
        <v>2831</v>
      </c>
      <c r="B669" s="11" t="s">
        <v>16</v>
      </c>
      <c r="C669" s="11" t="s">
        <v>2819</v>
      </c>
      <c r="D669" s="12" t="s">
        <v>2832</v>
      </c>
      <c r="E669" s="12" t="s">
        <v>2833</v>
      </c>
      <c r="F669" s="12" t="s">
        <v>2834</v>
      </c>
      <c r="G669" s="11" t="s">
        <v>2823</v>
      </c>
      <c r="H669" s="11" t="s">
        <v>4</v>
      </c>
      <c r="I669" s="13" t="n">
        <v>1</v>
      </c>
      <c r="J669" s="11" t="s">
        <v>49</v>
      </c>
      <c r="K669" s="12" t="s">
        <v>281</v>
      </c>
      <c r="L669" s="12"/>
      <c r="M669" s="11" t="s">
        <v>1643</v>
      </c>
      <c r="N669" s="12" t="s">
        <v>51</v>
      </c>
      <c r="O669" s="11" t="s">
        <v>27</v>
      </c>
      <c r="P669" s="11" t="s">
        <v>52</v>
      </c>
      <c r="Q669" s="12"/>
    </row>
    <row r="670" customFormat="false" ht="64.15" hidden="false" customHeight="false" outlineLevel="0" collapsed="false">
      <c r="A670" s="11" t="s">
        <v>2835</v>
      </c>
      <c r="B670" s="11" t="s">
        <v>16</v>
      </c>
      <c r="C670" s="11" t="s">
        <v>2819</v>
      </c>
      <c r="D670" s="12" t="s">
        <v>2836</v>
      </c>
      <c r="E670" s="12" t="s">
        <v>2837</v>
      </c>
      <c r="F670" s="12" t="s">
        <v>2838</v>
      </c>
      <c r="G670" s="11" t="s">
        <v>1775</v>
      </c>
      <c r="H670" s="11" t="s">
        <v>4</v>
      </c>
      <c r="I670" s="13" t="n">
        <v>0.65</v>
      </c>
      <c r="J670" s="11" t="s">
        <v>49</v>
      </c>
      <c r="K670" s="12" t="s">
        <v>2839</v>
      </c>
      <c r="L670" s="12" t="s">
        <v>2840</v>
      </c>
      <c r="M670" s="11" t="s">
        <v>1643</v>
      </c>
      <c r="N670" s="12" t="s">
        <v>51</v>
      </c>
      <c r="O670" s="11" t="s">
        <v>27</v>
      </c>
      <c r="P670" s="11" t="s">
        <v>52</v>
      </c>
      <c r="Q670" s="12"/>
    </row>
    <row r="671" customFormat="false" ht="43.25" hidden="false" customHeight="false" outlineLevel="0" collapsed="false">
      <c r="A671" s="11" t="s">
        <v>2841</v>
      </c>
      <c r="B671" s="11" t="s">
        <v>16</v>
      </c>
      <c r="C671" s="11" t="s">
        <v>2819</v>
      </c>
      <c r="D671" s="12" t="s">
        <v>2842</v>
      </c>
      <c r="E671" s="12" t="s">
        <v>2843</v>
      </c>
      <c r="F671" s="12" t="s">
        <v>2844</v>
      </c>
      <c r="G671" s="11" t="s">
        <v>1775</v>
      </c>
      <c r="H671" s="11" t="s">
        <v>4</v>
      </c>
      <c r="I671" s="13" t="n">
        <v>0.65</v>
      </c>
      <c r="J671" s="11" t="s">
        <v>49</v>
      </c>
      <c r="K671" s="12" t="s">
        <v>2845</v>
      </c>
      <c r="L671" s="12" t="s">
        <v>2846</v>
      </c>
      <c r="M671" s="11" t="s">
        <v>1643</v>
      </c>
      <c r="N671" s="12" t="s">
        <v>51</v>
      </c>
      <c r="O671" s="11" t="s">
        <v>27</v>
      </c>
      <c r="P671" s="11" t="s">
        <v>52</v>
      </c>
      <c r="Q671" s="12"/>
    </row>
    <row r="672" customFormat="false" ht="43.25" hidden="false" customHeight="false" outlineLevel="0" collapsed="false">
      <c r="A672" s="11" t="s">
        <v>2847</v>
      </c>
      <c r="B672" s="11" t="s">
        <v>16</v>
      </c>
      <c r="C672" s="11" t="s">
        <v>2819</v>
      </c>
      <c r="D672" s="12" t="s">
        <v>2848</v>
      </c>
      <c r="E672" s="12" t="s">
        <v>2849</v>
      </c>
      <c r="F672" s="12" t="s">
        <v>2850</v>
      </c>
      <c r="G672" s="11" t="s">
        <v>2823</v>
      </c>
      <c r="H672" s="11" t="s">
        <v>4</v>
      </c>
      <c r="I672" s="13" t="n">
        <v>0.636363636363636</v>
      </c>
      <c r="J672" s="11" t="s">
        <v>49</v>
      </c>
      <c r="K672" s="12" t="s">
        <v>2851</v>
      </c>
      <c r="L672" s="12" t="s">
        <v>2852</v>
      </c>
      <c r="M672" s="11" t="s">
        <v>1643</v>
      </c>
      <c r="N672" s="12" t="s">
        <v>51</v>
      </c>
      <c r="O672" s="11" t="s">
        <v>27</v>
      </c>
      <c r="P672" s="11" t="s">
        <v>52</v>
      </c>
      <c r="Q672" s="12"/>
    </row>
    <row r="673" customFormat="false" ht="22.35" hidden="false" customHeight="false" outlineLevel="0" collapsed="false">
      <c r="A673" s="11" t="s">
        <v>2853</v>
      </c>
      <c r="B673" s="11" t="s">
        <v>16</v>
      </c>
      <c r="C673" s="11" t="s">
        <v>2854</v>
      </c>
      <c r="D673" s="12" t="s">
        <v>2855</v>
      </c>
      <c r="E673" s="12" t="s">
        <v>2856</v>
      </c>
      <c r="F673" s="12" t="s">
        <v>2857</v>
      </c>
      <c r="G673" s="11" t="s">
        <v>2823</v>
      </c>
      <c r="H673" s="11" t="s">
        <v>4</v>
      </c>
      <c r="I673" s="13" t="n">
        <v>1</v>
      </c>
      <c r="J673" s="11" t="s">
        <v>49</v>
      </c>
      <c r="K673" s="12" t="s">
        <v>2858</v>
      </c>
      <c r="L673" s="12"/>
      <c r="M673" s="11" t="s">
        <v>1643</v>
      </c>
      <c r="N673" s="12" t="s">
        <v>51</v>
      </c>
      <c r="O673" s="11" t="s">
        <v>27</v>
      </c>
      <c r="P673" s="11" t="s">
        <v>52</v>
      </c>
      <c r="Q673" s="12"/>
    </row>
    <row r="674" customFormat="false" ht="64.15" hidden="false" customHeight="false" outlineLevel="0" collapsed="false">
      <c r="A674" s="11" t="s">
        <v>2859</v>
      </c>
      <c r="B674" s="11" t="s">
        <v>16</v>
      </c>
      <c r="C674" s="11" t="s">
        <v>2860</v>
      </c>
      <c r="D674" s="12" t="s">
        <v>2861</v>
      </c>
      <c r="E674" s="12" t="s">
        <v>2862</v>
      </c>
      <c r="F674" s="12" t="s">
        <v>2863</v>
      </c>
      <c r="G674" s="11" t="s">
        <v>2823</v>
      </c>
      <c r="H674" s="11" t="s">
        <v>6</v>
      </c>
      <c r="I674" s="13" t="n">
        <v>0.225</v>
      </c>
      <c r="J674" s="11" t="s">
        <v>49</v>
      </c>
      <c r="K674" s="12" t="s">
        <v>2864</v>
      </c>
      <c r="L674" s="12" t="s">
        <v>2865</v>
      </c>
      <c r="M674" s="11" t="s">
        <v>1643</v>
      </c>
      <c r="N674" s="12" t="s">
        <v>2866</v>
      </c>
      <c r="O674" s="11" t="s">
        <v>25</v>
      </c>
      <c r="P674" s="11" t="s">
        <v>52</v>
      </c>
      <c r="Q674" s="12"/>
    </row>
    <row r="675" customFormat="false" ht="64.15" hidden="false" customHeight="false" outlineLevel="0" collapsed="false">
      <c r="A675" s="11" t="s">
        <v>2867</v>
      </c>
      <c r="B675" s="11" t="s">
        <v>16</v>
      </c>
      <c r="C675" s="11" t="s">
        <v>2860</v>
      </c>
      <c r="D675" s="12" t="s">
        <v>2868</v>
      </c>
      <c r="E675" s="12" t="s">
        <v>2869</v>
      </c>
      <c r="F675" s="12" t="s">
        <v>2870</v>
      </c>
      <c r="G675" s="11" t="s">
        <v>2823</v>
      </c>
      <c r="H675" s="11" t="s">
        <v>5</v>
      </c>
      <c r="I675" s="13" t="n">
        <v>0.333333333333333</v>
      </c>
      <c r="J675" s="11" t="s">
        <v>49</v>
      </c>
      <c r="K675" s="12" t="s">
        <v>2871</v>
      </c>
      <c r="L675" s="12" t="s">
        <v>2872</v>
      </c>
      <c r="M675" s="11" t="s">
        <v>1643</v>
      </c>
      <c r="N675" s="12" t="s">
        <v>2873</v>
      </c>
      <c r="O675" s="11" t="s">
        <v>25</v>
      </c>
      <c r="P675" s="11" t="s">
        <v>52</v>
      </c>
      <c r="Q675" s="12"/>
    </row>
    <row r="676" customFormat="false" ht="22.35" hidden="false" customHeight="false" outlineLevel="0" collapsed="false">
      <c r="A676" s="11" t="s">
        <v>2874</v>
      </c>
      <c r="B676" s="11" t="s">
        <v>16</v>
      </c>
      <c r="C676" s="11" t="s">
        <v>2860</v>
      </c>
      <c r="D676" s="12" t="s">
        <v>2875</v>
      </c>
      <c r="E676" s="12" t="s">
        <v>2876</v>
      </c>
      <c r="F676" s="12" t="s">
        <v>2877</v>
      </c>
      <c r="G676" s="11" t="s">
        <v>2823</v>
      </c>
      <c r="H676" s="11" t="s">
        <v>4</v>
      </c>
      <c r="I676" s="13" t="n">
        <v>0.714285714285714</v>
      </c>
      <c r="J676" s="11" t="s">
        <v>49</v>
      </c>
      <c r="K676" s="12" t="s">
        <v>2878</v>
      </c>
      <c r="L676" s="12" t="s">
        <v>2879</v>
      </c>
      <c r="M676" s="11" t="s">
        <v>1643</v>
      </c>
      <c r="N676" s="12" t="s">
        <v>51</v>
      </c>
      <c r="O676" s="11" t="s">
        <v>27</v>
      </c>
      <c r="P676" s="11" t="s">
        <v>52</v>
      </c>
      <c r="Q676" s="12"/>
    </row>
    <row r="677" customFormat="false" ht="32.8" hidden="false" customHeight="false" outlineLevel="0" collapsed="false">
      <c r="A677" s="11" t="s">
        <v>2880</v>
      </c>
      <c r="B677" s="11" t="s">
        <v>16</v>
      </c>
      <c r="C677" s="11" t="s">
        <v>2881</v>
      </c>
      <c r="D677" s="12" t="s">
        <v>2882</v>
      </c>
      <c r="E677" s="12" t="s">
        <v>2883</v>
      </c>
      <c r="F677" s="12" t="s">
        <v>2884</v>
      </c>
      <c r="G677" s="11" t="s">
        <v>1775</v>
      </c>
      <c r="H677" s="11" t="s">
        <v>6</v>
      </c>
      <c r="I677" s="13" t="n">
        <v>0</v>
      </c>
      <c r="J677" s="11" t="s">
        <v>49</v>
      </c>
      <c r="K677" s="12"/>
      <c r="L677" s="12" t="s">
        <v>2885</v>
      </c>
      <c r="M677" s="11" t="s">
        <v>1643</v>
      </c>
      <c r="N677" s="12" t="s">
        <v>2886</v>
      </c>
      <c r="O677" s="11" t="s">
        <v>25</v>
      </c>
      <c r="P677" s="11" t="s">
        <v>52</v>
      </c>
      <c r="Q677" s="12"/>
    </row>
    <row r="678" customFormat="false" ht="53.7" hidden="false" customHeight="false" outlineLevel="0" collapsed="false">
      <c r="A678" s="11" t="s">
        <v>2887</v>
      </c>
      <c r="B678" s="11" t="s">
        <v>16</v>
      </c>
      <c r="C678" s="11" t="s">
        <v>2881</v>
      </c>
      <c r="D678" s="12" t="s">
        <v>2888</v>
      </c>
      <c r="E678" s="12" t="s">
        <v>2889</v>
      </c>
      <c r="F678" s="12" t="s">
        <v>2890</v>
      </c>
      <c r="G678" s="11" t="s">
        <v>1775</v>
      </c>
      <c r="H678" s="11" t="s">
        <v>5</v>
      </c>
      <c r="I678" s="13" t="n">
        <v>0.28125</v>
      </c>
      <c r="J678" s="11" t="s">
        <v>49</v>
      </c>
      <c r="K678" s="12" t="s">
        <v>2891</v>
      </c>
      <c r="L678" s="12" t="s">
        <v>2892</v>
      </c>
      <c r="M678" s="11" t="s">
        <v>1643</v>
      </c>
      <c r="N678" s="12" t="s">
        <v>2893</v>
      </c>
      <c r="O678" s="11" t="s">
        <v>25</v>
      </c>
      <c r="P678" s="11" t="s">
        <v>52</v>
      </c>
      <c r="Q678" s="12"/>
    </row>
    <row r="679" customFormat="false" ht="43.25" hidden="false" customHeight="false" outlineLevel="0" collapsed="false">
      <c r="A679" s="11" t="s">
        <v>2894</v>
      </c>
      <c r="B679" s="11" t="s">
        <v>16</v>
      </c>
      <c r="C679" s="11" t="s">
        <v>2881</v>
      </c>
      <c r="D679" s="12" t="s">
        <v>2895</v>
      </c>
      <c r="E679" s="12" t="s">
        <v>2896</v>
      </c>
      <c r="F679" s="12" t="s">
        <v>2897</v>
      </c>
      <c r="G679" s="11" t="s">
        <v>1775</v>
      </c>
      <c r="H679" s="11" t="s">
        <v>5</v>
      </c>
      <c r="I679" s="13" t="n">
        <v>0.35</v>
      </c>
      <c r="J679" s="11" t="s">
        <v>49</v>
      </c>
      <c r="K679" s="12" t="s">
        <v>2898</v>
      </c>
      <c r="L679" s="12" t="s">
        <v>2899</v>
      </c>
      <c r="M679" s="11" t="s">
        <v>1643</v>
      </c>
      <c r="N679" s="12" t="s">
        <v>2893</v>
      </c>
      <c r="O679" s="11" t="s">
        <v>25</v>
      </c>
      <c r="P679" s="11" t="s">
        <v>52</v>
      </c>
      <c r="Q679" s="12"/>
    </row>
    <row r="680" customFormat="false" ht="22.35" hidden="false" customHeight="false" outlineLevel="0" collapsed="false">
      <c r="A680" s="11" t="s">
        <v>2900</v>
      </c>
      <c r="B680" s="11" t="s">
        <v>16</v>
      </c>
      <c r="C680" s="11" t="s">
        <v>2881</v>
      </c>
      <c r="D680" s="12" t="s">
        <v>2901</v>
      </c>
      <c r="E680" s="12" t="s">
        <v>2902</v>
      </c>
      <c r="F680" s="12" t="s">
        <v>2903</v>
      </c>
      <c r="G680" s="11" t="s">
        <v>1775</v>
      </c>
      <c r="H680" s="11" t="s">
        <v>5</v>
      </c>
      <c r="I680" s="13" t="n">
        <v>0.428571428571429</v>
      </c>
      <c r="J680" s="11" t="s">
        <v>49</v>
      </c>
      <c r="K680" s="12" t="s">
        <v>2904</v>
      </c>
      <c r="L680" s="12" t="s">
        <v>2905</v>
      </c>
      <c r="M680" s="11" t="s">
        <v>1643</v>
      </c>
      <c r="N680" s="12" t="s">
        <v>2893</v>
      </c>
      <c r="O680" s="11" t="s">
        <v>25</v>
      </c>
      <c r="P680" s="11" t="s">
        <v>52</v>
      </c>
      <c r="Q680" s="12"/>
    </row>
    <row r="681" customFormat="false" ht="64.15" hidden="false" customHeight="false" outlineLevel="0" collapsed="false">
      <c r="A681" s="11" t="s">
        <v>2906</v>
      </c>
      <c r="B681" s="11" t="s">
        <v>16</v>
      </c>
      <c r="C681" s="11" t="s">
        <v>2881</v>
      </c>
      <c r="D681" s="12" t="s">
        <v>2907</v>
      </c>
      <c r="E681" s="12" t="s">
        <v>2908</v>
      </c>
      <c r="F681" s="12" t="s">
        <v>2909</v>
      </c>
      <c r="G681" s="11" t="s">
        <v>1775</v>
      </c>
      <c r="H681" s="11" t="s">
        <v>5</v>
      </c>
      <c r="I681" s="13" t="n">
        <v>0.448275862068966</v>
      </c>
      <c r="J681" s="11" t="s">
        <v>49</v>
      </c>
      <c r="K681" s="12" t="s">
        <v>2910</v>
      </c>
      <c r="L681" s="12" t="s">
        <v>2911</v>
      </c>
      <c r="M681" s="11" t="s">
        <v>1643</v>
      </c>
      <c r="N681" s="12" t="s">
        <v>2893</v>
      </c>
      <c r="O681" s="11" t="s">
        <v>25</v>
      </c>
      <c r="P681" s="11" t="s">
        <v>52</v>
      </c>
      <c r="Q681" s="12"/>
    </row>
    <row r="682" customFormat="false" ht="64.15" hidden="false" customHeight="false" outlineLevel="0" collapsed="false">
      <c r="A682" s="11" t="s">
        <v>2912</v>
      </c>
      <c r="B682" s="11" t="s">
        <v>16</v>
      </c>
      <c r="C682" s="11" t="s">
        <v>2881</v>
      </c>
      <c r="D682" s="12" t="s">
        <v>2913</v>
      </c>
      <c r="E682" s="12" t="s">
        <v>2914</v>
      </c>
      <c r="F682" s="12" t="s">
        <v>2915</v>
      </c>
      <c r="G682" s="11" t="s">
        <v>1775</v>
      </c>
      <c r="H682" s="11" t="s">
        <v>5</v>
      </c>
      <c r="I682" s="13" t="n">
        <v>0.25</v>
      </c>
      <c r="J682" s="11" t="s">
        <v>49</v>
      </c>
      <c r="K682" s="12" t="s">
        <v>2916</v>
      </c>
      <c r="L682" s="12" t="s">
        <v>2917</v>
      </c>
      <c r="M682" s="11" t="s">
        <v>1643</v>
      </c>
      <c r="N682" s="12" t="s">
        <v>2893</v>
      </c>
      <c r="O682" s="11" t="s">
        <v>25</v>
      </c>
      <c r="P682" s="11" t="s">
        <v>52</v>
      </c>
      <c r="Q682" s="12"/>
    </row>
    <row r="683" customFormat="false" ht="53.7" hidden="false" customHeight="false" outlineLevel="0" collapsed="false">
      <c r="A683" s="11" t="s">
        <v>2918</v>
      </c>
      <c r="B683" s="11" t="s">
        <v>16</v>
      </c>
      <c r="C683" s="11" t="s">
        <v>2881</v>
      </c>
      <c r="D683" s="12" t="s">
        <v>2919</v>
      </c>
      <c r="E683" s="12" t="s">
        <v>2920</v>
      </c>
      <c r="F683" s="12" t="s">
        <v>2921</v>
      </c>
      <c r="G683" s="11" t="s">
        <v>1775</v>
      </c>
      <c r="H683" s="11" t="s">
        <v>5</v>
      </c>
      <c r="I683" s="13" t="n">
        <v>0.318181818181818</v>
      </c>
      <c r="J683" s="11" t="s">
        <v>49</v>
      </c>
      <c r="K683" s="12" t="s">
        <v>2922</v>
      </c>
      <c r="L683" s="12" t="s">
        <v>2923</v>
      </c>
      <c r="M683" s="11" t="s">
        <v>1643</v>
      </c>
      <c r="N683" s="12" t="s">
        <v>2893</v>
      </c>
      <c r="O683" s="11" t="s">
        <v>25</v>
      </c>
      <c r="P683" s="11" t="s">
        <v>52</v>
      </c>
      <c r="Q683" s="12"/>
    </row>
    <row r="684" customFormat="false" ht="64.15" hidden="false" customHeight="false" outlineLevel="0" collapsed="false">
      <c r="A684" s="11" t="s">
        <v>2924</v>
      </c>
      <c r="B684" s="11" t="s">
        <v>16</v>
      </c>
      <c r="C684" s="11" t="s">
        <v>2881</v>
      </c>
      <c r="D684" s="12" t="s">
        <v>2925</v>
      </c>
      <c r="E684" s="12" t="s">
        <v>2926</v>
      </c>
      <c r="F684" s="12" t="s">
        <v>2927</v>
      </c>
      <c r="G684" s="11" t="s">
        <v>1775</v>
      </c>
      <c r="H684" s="11" t="s">
        <v>5</v>
      </c>
      <c r="I684" s="13" t="n">
        <v>0.4</v>
      </c>
      <c r="J684" s="11" t="s">
        <v>49</v>
      </c>
      <c r="K684" s="12" t="s">
        <v>2928</v>
      </c>
      <c r="L684" s="12" t="s">
        <v>2929</v>
      </c>
      <c r="M684" s="11" t="s">
        <v>1643</v>
      </c>
      <c r="N684" s="12" t="s">
        <v>2893</v>
      </c>
      <c r="O684" s="11" t="s">
        <v>25</v>
      </c>
      <c r="P684" s="11" t="s">
        <v>52</v>
      </c>
      <c r="Q684" s="12"/>
    </row>
    <row r="685" customFormat="false" ht="74.6" hidden="false" customHeight="false" outlineLevel="0" collapsed="false">
      <c r="A685" s="11" t="s">
        <v>2930</v>
      </c>
      <c r="B685" s="11" t="s">
        <v>16</v>
      </c>
      <c r="C685" s="11" t="s">
        <v>2881</v>
      </c>
      <c r="D685" s="12" t="s">
        <v>2931</v>
      </c>
      <c r="E685" s="12" t="s">
        <v>2932</v>
      </c>
      <c r="F685" s="12" t="s">
        <v>2933</v>
      </c>
      <c r="G685" s="11" t="s">
        <v>1775</v>
      </c>
      <c r="H685" s="11" t="s">
        <v>5</v>
      </c>
      <c r="I685" s="13" t="n">
        <v>0.3</v>
      </c>
      <c r="J685" s="11" t="s">
        <v>49</v>
      </c>
      <c r="K685" s="12" t="s">
        <v>2934</v>
      </c>
      <c r="L685" s="12" t="s">
        <v>2935</v>
      </c>
      <c r="M685" s="11" t="s">
        <v>1643</v>
      </c>
      <c r="N685" s="12" t="s">
        <v>2893</v>
      </c>
      <c r="O685" s="11" t="s">
        <v>25</v>
      </c>
      <c r="P685" s="11" t="s">
        <v>52</v>
      </c>
      <c r="Q685" s="12"/>
    </row>
    <row r="686" customFormat="false" ht="85.05" hidden="false" customHeight="false" outlineLevel="0" collapsed="false">
      <c r="A686" s="11" t="s">
        <v>2936</v>
      </c>
      <c r="B686" s="11" t="s">
        <v>16</v>
      </c>
      <c r="C686" s="11" t="s">
        <v>2881</v>
      </c>
      <c r="D686" s="12" t="s">
        <v>2937</v>
      </c>
      <c r="E686" s="12" t="s">
        <v>2938</v>
      </c>
      <c r="F686" s="12" t="s">
        <v>2939</v>
      </c>
      <c r="G686" s="11" t="s">
        <v>1775</v>
      </c>
      <c r="H686" s="11" t="s">
        <v>5</v>
      </c>
      <c r="I686" s="13" t="n">
        <v>0.432432432432433</v>
      </c>
      <c r="J686" s="11" t="s">
        <v>49</v>
      </c>
      <c r="K686" s="12" t="s">
        <v>2940</v>
      </c>
      <c r="L686" s="12" t="s">
        <v>2941</v>
      </c>
      <c r="M686" s="11" t="s">
        <v>1643</v>
      </c>
      <c r="N686" s="12" t="s">
        <v>2893</v>
      </c>
      <c r="O686" s="11" t="s">
        <v>25</v>
      </c>
      <c r="P686" s="11" t="s">
        <v>52</v>
      </c>
      <c r="Q686" s="12"/>
    </row>
    <row r="687" customFormat="false" ht="53.7" hidden="false" customHeight="false" outlineLevel="0" collapsed="false">
      <c r="A687" s="11" t="s">
        <v>2942</v>
      </c>
      <c r="B687" s="11" t="s">
        <v>16</v>
      </c>
      <c r="C687" s="11" t="s">
        <v>2881</v>
      </c>
      <c r="D687" s="12" t="s">
        <v>2943</v>
      </c>
      <c r="E687" s="12" t="s">
        <v>2944</v>
      </c>
      <c r="F687" s="12" t="s">
        <v>2945</v>
      </c>
      <c r="G687" s="11" t="s">
        <v>1775</v>
      </c>
      <c r="H687" s="11" t="s">
        <v>4</v>
      </c>
      <c r="I687" s="13" t="n">
        <v>0.571428571428571</v>
      </c>
      <c r="J687" s="11" t="s">
        <v>49</v>
      </c>
      <c r="K687" s="12" t="s">
        <v>2946</v>
      </c>
      <c r="L687" s="12" t="s">
        <v>2947</v>
      </c>
      <c r="M687" s="11" t="s">
        <v>1643</v>
      </c>
      <c r="N687" s="12" t="s">
        <v>51</v>
      </c>
      <c r="O687" s="11" t="s">
        <v>27</v>
      </c>
      <c r="P687" s="11" t="s">
        <v>52</v>
      </c>
      <c r="Q687" s="12"/>
    </row>
    <row r="688" customFormat="false" ht="22.35" hidden="false" customHeight="false" outlineLevel="0" collapsed="false">
      <c r="A688" s="11" t="s">
        <v>2948</v>
      </c>
      <c r="B688" s="11" t="s">
        <v>16</v>
      </c>
      <c r="C688" s="11" t="s">
        <v>2949</v>
      </c>
      <c r="D688" s="12" t="s">
        <v>2950</v>
      </c>
      <c r="E688" s="12" t="s">
        <v>2951</v>
      </c>
      <c r="F688" s="12" t="s">
        <v>2950</v>
      </c>
      <c r="G688" s="11" t="s">
        <v>1775</v>
      </c>
      <c r="H688" s="11" t="s">
        <v>4</v>
      </c>
      <c r="I688" s="13" t="n">
        <v>0.6</v>
      </c>
      <c r="J688" s="11" t="s">
        <v>49</v>
      </c>
      <c r="K688" s="12" t="s">
        <v>2952</v>
      </c>
      <c r="L688" s="12" t="s">
        <v>2953</v>
      </c>
      <c r="M688" s="11" t="s">
        <v>1643</v>
      </c>
      <c r="N688" s="12" t="s">
        <v>51</v>
      </c>
      <c r="O688" s="11" t="s">
        <v>27</v>
      </c>
      <c r="P688" s="11" t="s">
        <v>52</v>
      </c>
      <c r="Q688" s="12"/>
    </row>
    <row r="689" customFormat="false" ht="22.35" hidden="false" customHeight="false" outlineLevel="0" collapsed="false">
      <c r="A689" s="11" t="s">
        <v>2954</v>
      </c>
      <c r="B689" s="11" t="s">
        <v>16</v>
      </c>
      <c r="C689" s="11" t="s">
        <v>2949</v>
      </c>
      <c r="D689" s="12" t="s">
        <v>2955</v>
      </c>
      <c r="E689" s="12" t="s">
        <v>2956</v>
      </c>
      <c r="F689" s="12" t="s">
        <v>2955</v>
      </c>
      <c r="G689" s="11" t="s">
        <v>2098</v>
      </c>
      <c r="H689" s="11" t="s">
        <v>4</v>
      </c>
      <c r="I689" s="13" t="n">
        <v>0.875</v>
      </c>
      <c r="J689" s="11" t="s">
        <v>49</v>
      </c>
      <c r="K689" s="12" t="s">
        <v>2957</v>
      </c>
      <c r="L689" s="12" t="s">
        <v>2958</v>
      </c>
      <c r="M689" s="11" t="s">
        <v>1643</v>
      </c>
      <c r="N689" s="12" t="s">
        <v>51</v>
      </c>
      <c r="O689" s="11" t="s">
        <v>27</v>
      </c>
      <c r="P689" s="11" t="s">
        <v>52</v>
      </c>
      <c r="Q689" s="12"/>
    </row>
    <row r="690" customFormat="false" ht="22.35" hidden="false" customHeight="false" outlineLevel="0" collapsed="false">
      <c r="A690" s="11" t="s">
        <v>2959</v>
      </c>
      <c r="B690" s="11" t="s">
        <v>16</v>
      </c>
      <c r="C690" s="11" t="s">
        <v>2949</v>
      </c>
      <c r="D690" s="12" t="s">
        <v>2960</v>
      </c>
      <c r="E690" s="12" t="s">
        <v>2961</v>
      </c>
      <c r="F690" s="12" t="s">
        <v>2960</v>
      </c>
      <c r="G690" s="11" t="s">
        <v>2098</v>
      </c>
      <c r="H690" s="11" t="s">
        <v>4</v>
      </c>
      <c r="I690" s="13" t="n">
        <v>1</v>
      </c>
      <c r="J690" s="11" t="s">
        <v>49</v>
      </c>
      <c r="K690" s="12" t="s">
        <v>2962</v>
      </c>
      <c r="L690" s="12"/>
      <c r="M690" s="11" t="s">
        <v>1643</v>
      </c>
      <c r="N690" s="12" t="s">
        <v>51</v>
      </c>
      <c r="O690" s="11" t="s">
        <v>27</v>
      </c>
      <c r="P690" s="11" t="s">
        <v>52</v>
      </c>
      <c r="Q690" s="12"/>
    </row>
    <row r="691" customFormat="false" ht="22.35" hidden="false" customHeight="false" outlineLevel="0" collapsed="false">
      <c r="A691" s="11" t="s">
        <v>2963</v>
      </c>
      <c r="B691" s="11" t="s">
        <v>16</v>
      </c>
      <c r="C691" s="11" t="s">
        <v>2949</v>
      </c>
      <c r="D691" s="12" t="s">
        <v>2964</v>
      </c>
      <c r="E691" s="12" t="s">
        <v>2965</v>
      </c>
      <c r="F691" s="12" t="s">
        <v>2964</v>
      </c>
      <c r="G691" s="11" t="s">
        <v>1775</v>
      </c>
      <c r="H691" s="11" t="s">
        <v>4</v>
      </c>
      <c r="I691" s="13" t="n">
        <v>0.714285714285714</v>
      </c>
      <c r="J691" s="11" t="s">
        <v>49</v>
      </c>
      <c r="K691" s="12" t="s">
        <v>2966</v>
      </c>
      <c r="L691" s="12" t="s">
        <v>2967</v>
      </c>
      <c r="M691" s="11" t="s">
        <v>1643</v>
      </c>
      <c r="N691" s="12" t="s">
        <v>51</v>
      </c>
      <c r="O691" s="11" t="s">
        <v>27</v>
      </c>
      <c r="P691" s="11" t="s">
        <v>52</v>
      </c>
      <c r="Q691" s="12"/>
    </row>
    <row r="692" customFormat="false" ht="53.7" hidden="false" customHeight="false" outlineLevel="0" collapsed="false">
      <c r="A692" s="11" t="s">
        <v>2968</v>
      </c>
      <c r="B692" s="11" t="s">
        <v>16</v>
      </c>
      <c r="C692" s="11" t="s">
        <v>2949</v>
      </c>
      <c r="D692" s="12" t="s">
        <v>2969</v>
      </c>
      <c r="E692" s="12" t="s">
        <v>2970</v>
      </c>
      <c r="F692" s="12" t="s">
        <v>2971</v>
      </c>
      <c r="G692" s="11" t="s">
        <v>1775</v>
      </c>
      <c r="H692" s="11" t="s">
        <v>4</v>
      </c>
      <c r="I692" s="13" t="n">
        <v>0.55</v>
      </c>
      <c r="J692" s="11" t="s">
        <v>49</v>
      </c>
      <c r="K692" s="12" t="s">
        <v>2972</v>
      </c>
      <c r="L692" s="12" t="s">
        <v>2973</v>
      </c>
      <c r="M692" s="11" t="s">
        <v>1643</v>
      </c>
      <c r="N692" s="12" t="s">
        <v>51</v>
      </c>
      <c r="O692" s="11" t="s">
        <v>27</v>
      </c>
      <c r="P692" s="11" t="s">
        <v>52</v>
      </c>
      <c r="Q692" s="12"/>
    </row>
    <row r="693" customFormat="false" ht="22.35" hidden="false" customHeight="false" outlineLevel="0" collapsed="false">
      <c r="A693" s="11" t="s">
        <v>2974</v>
      </c>
      <c r="B693" s="11" t="s">
        <v>16</v>
      </c>
      <c r="C693" s="11" t="s">
        <v>2949</v>
      </c>
      <c r="D693" s="12" t="s">
        <v>2975</v>
      </c>
      <c r="E693" s="12" t="s">
        <v>2976</v>
      </c>
      <c r="F693" s="12" t="s">
        <v>2977</v>
      </c>
      <c r="G693" s="11" t="s">
        <v>2978</v>
      </c>
      <c r="H693" s="11" t="s">
        <v>4</v>
      </c>
      <c r="I693" s="13" t="n">
        <v>0.714285714285714</v>
      </c>
      <c r="J693" s="11" t="s">
        <v>49</v>
      </c>
      <c r="K693" s="12" t="s">
        <v>2979</v>
      </c>
      <c r="L693" s="12" t="s">
        <v>2980</v>
      </c>
      <c r="M693" s="11" t="s">
        <v>1643</v>
      </c>
      <c r="N693" s="12" t="s">
        <v>51</v>
      </c>
      <c r="O693" s="11" t="s">
        <v>27</v>
      </c>
      <c r="P693" s="11" t="s">
        <v>52</v>
      </c>
      <c r="Q693" s="12"/>
    </row>
    <row r="694" customFormat="false" ht="22.35" hidden="false" customHeight="false" outlineLevel="0" collapsed="false">
      <c r="A694" s="11" t="s">
        <v>2981</v>
      </c>
      <c r="B694" s="11" t="s">
        <v>16</v>
      </c>
      <c r="C694" s="11" t="s">
        <v>2949</v>
      </c>
      <c r="D694" s="12" t="s">
        <v>2982</v>
      </c>
      <c r="E694" s="12" t="s">
        <v>2983</v>
      </c>
      <c r="F694" s="12" t="s">
        <v>2971</v>
      </c>
      <c r="G694" s="11" t="s">
        <v>1775</v>
      </c>
      <c r="H694" s="11" t="s">
        <v>4</v>
      </c>
      <c r="I694" s="13" t="n">
        <v>0.833333333333333</v>
      </c>
      <c r="J694" s="11" t="s">
        <v>49</v>
      </c>
      <c r="K694" s="12" t="s">
        <v>2984</v>
      </c>
      <c r="L694" s="12" t="s">
        <v>2985</v>
      </c>
      <c r="M694" s="11" t="s">
        <v>1643</v>
      </c>
      <c r="N694" s="12" t="s">
        <v>51</v>
      </c>
      <c r="O694" s="11" t="s">
        <v>27</v>
      </c>
      <c r="P694" s="11" t="s">
        <v>52</v>
      </c>
      <c r="Q694" s="12"/>
    </row>
    <row r="695" customFormat="false" ht="43.25" hidden="false" customHeight="false" outlineLevel="0" collapsed="false">
      <c r="A695" s="11" t="s">
        <v>2986</v>
      </c>
      <c r="B695" s="11" t="s">
        <v>16</v>
      </c>
      <c r="C695" s="11" t="s">
        <v>2949</v>
      </c>
      <c r="D695" s="12" t="s">
        <v>2987</v>
      </c>
      <c r="E695" s="12" t="s">
        <v>2988</v>
      </c>
      <c r="F695" s="12" t="s">
        <v>2989</v>
      </c>
      <c r="G695" s="11" t="s">
        <v>2990</v>
      </c>
      <c r="H695" s="11" t="s">
        <v>4</v>
      </c>
      <c r="I695" s="13" t="n">
        <v>0.689655172413793</v>
      </c>
      <c r="J695" s="11" t="s">
        <v>49</v>
      </c>
      <c r="K695" s="12" t="s">
        <v>2991</v>
      </c>
      <c r="L695" s="12" t="s">
        <v>2992</v>
      </c>
      <c r="M695" s="11" t="s">
        <v>1643</v>
      </c>
      <c r="N695" s="12" t="s">
        <v>51</v>
      </c>
      <c r="O695" s="11" t="s">
        <v>27</v>
      </c>
      <c r="P695" s="11" t="s">
        <v>52</v>
      </c>
      <c r="Q695" s="12"/>
    </row>
    <row r="696" customFormat="false" ht="22.35" hidden="false" customHeight="false" outlineLevel="0" collapsed="false">
      <c r="A696" s="11" t="s">
        <v>2993</v>
      </c>
      <c r="B696" s="11" t="s">
        <v>16</v>
      </c>
      <c r="C696" s="11" t="s">
        <v>2949</v>
      </c>
      <c r="D696" s="12" t="s">
        <v>2994</v>
      </c>
      <c r="E696" s="12" t="s">
        <v>2995</v>
      </c>
      <c r="F696" s="12" t="s">
        <v>2996</v>
      </c>
      <c r="G696" s="11" t="s">
        <v>2997</v>
      </c>
      <c r="H696" s="11" t="s">
        <v>4</v>
      </c>
      <c r="I696" s="13" t="n">
        <v>0.769230769230769</v>
      </c>
      <c r="J696" s="11" t="s">
        <v>49</v>
      </c>
      <c r="K696" s="12" t="s">
        <v>2998</v>
      </c>
      <c r="L696" s="12" t="s">
        <v>2999</v>
      </c>
      <c r="M696" s="11" t="s">
        <v>1643</v>
      </c>
      <c r="N696" s="12" t="s">
        <v>51</v>
      </c>
      <c r="O696" s="11" t="s">
        <v>27</v>
      </c>
      <c r="P696" s="11" t="s">
        <v>52</v>
      </c>
      <c r="Q696" s="12"/>
    </row>
    <row r="697" customFormat="false" ht="22.35" hidden="false" customHeight="false" outlineLevel="0" collapsed="false">
      <c r="A697" s="11" t="s">
        <v>3000</v>
      </c>
      <c r="B697" s="11" t="s">
        <v>16</v>
      </c>
      <c r="C697" s="11" t="s">
        <v>2949</v>
      </c>
      <c r="D697" s="12" t="s">
        <v>3001</v>
      </c>
      <c r="E697" s="12" t="s">
        <v>3002</v>
      </c>
      <c r="F697" s="12" t="s">
        <v>3003</v>
      </c>
      <c r="G697" s="11" t="s">
        <v>2098</v>
      </c>
      <c r="H697" s="11" t="s">
        <v>4</v>
      </c>
      <c r="I697" s="13" t="n">
        <v>0.714285714285714</v>
      </c>
      <c r="J697" s="11" t="s">
        <v>49</v>
      </c>
      <c r="K697" s="12" t="s">
        <v>3004</v>
      </c>
      <c r="L697" s="12" t="s">
        <v>3005</v>
      </c>
      <c r="M697" s="11" t="s">
        <v>1643</v>
      </c>
      <c r="N697" s="12" t="s">
        <v>51</v>
      </c>
      <c r="O697" s="11" t="s">
        <v>27</v>
      </c>
      <c r="P697" s="11" t="s">
        <v>52</v>
      </c>
      <c r="Q697" s="12"/>
    </row>
    <row r="698" customFormat="false" ht="22.35" hidden="false" customHeight="false" outlineLevel="0" collapsed="false">
      <c r="A698" s="11" t="s">
        <v>3006</v>
      </c>
      <c r="B698" s="11" t="s">
        <v>16</v>
      </c>
      <c r="C698" s="11" t="s">
        <v>2949</v>
      </c>
      <c r="D698" s="12" t="s">
        <v>3007</v>
      </c>
      <c r="E698" s="12" t="s">
        <v>3008</v>
      </c>
      <c r="F698" s="12" t="s">
        <v>3009</v>
      </c>
      <c r="G698" s="11" t="s">
        <v>2098</v>
      </c>
      <c r="H698" s="11" t="s">
        <v>4</v>
      </c>
      <c r="I698" s="13" t="n">
        <v>0.6</v>
      </c>
      <c r="J698" s="11" t="s">
        <v>49</v>
      </c>
      <c r="K698" s="12" t="s">
        <v>3010</v>
      </c>
      <c r="L698" s="12" t="s">
        <v>3011</v>
      </c>
      <c r="M698" s="11" t="s">
        <v>1643</v>
      </c>
      <c r="N698" s="12" t="s">
        <v>51</v>
      </c>
      <c r="O698" s="11" t="s">
        <v>27</v>
      </c>
      <c r="P698" s="11" t="s">
        <v>52</v>
      </c>
      <c r="Q698" s="12"/>
    </row>
    <row r="699" customFormat="false" ht="22.35" hidden="false" customHeight="false" outlineLevel="0" collapsed="false">
      <c r="A699" s="11" t="s">
        <v>3012</v>
      </c>
      <c r="B699" s="11" t="s">
        <v>16</v>
      </c>
      <c r="C699" s="11" t="s">
        <v>2949</v>
      </c>
      <c r="D699" s="12" t="s">
        <v>3013</v>
      </c>
      <c r="E699" s="12" t="s">
        <v>3014</v>
      </c>
      <c r="F699" s="12" t="s">
        <v>2971</v>
      </c>
      <c r="G699" s="11" t="s">
        <v>1775</v>
      </c>
      <c r="H699" s="11" t="s">
        <v>4</v>
      </c>
      <c r="I699" s="13" t="n">
        <v>1</v>
      </c>
      <c r="J699" s="11" t="s">
        <v>49</v>
      </c>
      <c r="K699" s="12" t="s">
        <v>3015</v>
      </c>
      <c r="L699" s="12"/>
      <c r="M699" s="11" t="s">
        <v>1643</v>
      </c>
      <c r="N699" s="12" t="s">
        <v>51</v>
      </c>
      <c r="O699" s="11" t="s">
        <v>27</v>
      </c>
      <c r="P699" s="11" t="s">
        <v>52</v>
      </c>
      <c r="Q699" s="12"/>
    </row>
    <row r="700" customFormat="false" ht="22.35" hidden="false" customHeight="false" outlineLevel="0" collapsed="false">
      <c r="A700" s="11" t="s">
        <v>3016</v>
      </c>
      <c r="B700" s="11" t="s">
        <v>16</v>
      </c>
      <c r="C700" s="11" t="s">
        <v>2949</v>
      </c>
      <c r="D700" s="12" t="s">
        <v>3017</v>
      </c>
      <c r="E700" s="12" t="s">
        <v>3018</v>
      </c>
      <c r="F700" s="12" t="s">
        <v>3019</v>
      </c>
      <c r="G700" s="11" t="s">
        <v>3020</v>
      </c>
      <c r="H700" s="11" t="s">
        <v>4</v>
      </c>
      <c r="I700" s="13" t="n">
        <v>0.875</v>
      </c>
      <c r="J700" s="11" t="s">
        <v>49</v>
      </c>
      <c r="K700" s="12" t="s">
        <v>3021</v>
      </c>
      <c r="L700" s="12" t="s">
        <v>3022</v>
      </c>
      <c r="M700" s="11" t="s">
        <v>1643</v>
      </c>
      <c r="N700" s="12" t="s">
        <v>51</v>
      </c>
      <c r="O700" s="11" t="s">
        <v>27</v>
      </c>
      <c r="P700" s="11" t="s">
        <v>52</v>
      </c>
      <c r="Q700" s="12"/>
    </row>
    <row r="701" customFormat="false" ht="32.8" hidden="false" customHeight="false" outlineLevel="0" collapsed="false">
      <c r="A701" s="11" t="s">
        <v>3023</v>
      </c>
      <c r="B701" s="11" t="s">
        <v>16</v>
      </c>
      <c r="C701" s="11" t="s">
        <v>2949</v>
      </c>
      <c r="D701" s="12" t="s">
        <v>3024</v>
      </c>
      <c r="E701" s="12" t="s">
        <v>3025</v>
      </c>
      <c r="F701" s="12" t="s">
        <v>3026</v>
      </c>
      <c r="G701" s="11" t="s">
        <v>3027</v>
      </c>
      <c r="H701" s="11" t="s">
        <v>4</v>
      </c>
      <c r="I701" s="13" t="n">
        <v>0.625</v>
      </c>
      <c r="J701" s="11" t="s">
        <v>49</v>
      </c>
      <c r="K701" s="12" t="s">
        <v>3028</v>
      </c>
      <c r="L701" s="12" t="s">
        <v>3029</v>
      </c>
      <c r="M701" s="11" t="s">
        <v>1643</v>
      </c>
      <c r="N701" s="12" t="s">
        <v>51</v>
      </c>
      <c r="O701" s="11" t="s">
        <v>27</v>
      </c>
      <c r="P701" s="11" t="s">
        <v>52</v>
      </c>
      <c r="Q701" s="12"/>
    </row>
    <row r="702" customFormat="false" ht="85.05" hidden="false" customHeight="false" outlineLevel="0" collapsed="false">
      <c r="A702" s="11" t="s">
        <v>3030</v>
      </c>
      <c r="B702" s="11" t="s">
        <v>16</v>
      </c>
      <c r="C702" s="11" t="s">
        <v>2949</v>
      </c>
      <c r="D702" s="12" t="s">
        <v>3031</v>
      </c>
      <c r="E702" s="12" t="s">
        <v>3032</v>
      </c>
      <c r="F702" s="12" t="s">
        <v>3031</v>
      </c>
      <c r="G702" s="11" t="s">
        <v>1775</v>
      </c>
      <c r="H702" s="11" t="s">
        <v>5</v>
      </c>
      <c r="I702" s="13" t="n">
        <v>0.457142857142857</v>
      </c>
      <c r="J702" s="11" t="s">
        <v>49</v>
      </c>
      <c r="K702" s="12" t="s">
        <v>3033</v>
      </c>
      <c r="L702" s="12" t="s">
        <v>3034</v>
      </c>
      <c r="M702" s="11" t="s">
        <v>1643</v>
      </c>
      <c r="N702" s="12" t="s">
        <v>2873</v>
      </c>
      <c r="O702" s="11" t="s">
        <v>25</v>
      </c>
      <c r="P702" s="11" t="s">
        <v>52</v>
      </c>
      <c r="Q702" s="12"/>
    </row>
    <row r="703" customFormat="false" ht="32.8" hidden="false" customHeight="false" outlineLevel="0" collapsed="false">
      <c r="A703" s="11" t="s">
        <v>3035</v>
      </c>
      <c r="B703" s="11" t="s">
        <v>16</v>
      </c>
      <c r="C703" s="11" t="s">
        <v>2949</v>
      </c>
      <c r="D703" s="12" t="s">
        <v>3036</v>
      </c>
      <c r="E703" s="12" t="s">
        <v>3037</v>
      </c>
      <c r="F703" s="12" t="s">
        <v>3036</v>
      </c>
      <c r="G703" s="11" t="s">
        <v>1775</v>
      </c>
      <c r="H703" s="11" t="s">
        <v>5</v>
      </c>
      <c r="I703" s="13" t="n">
        <v>0.285714285714286</v>
      </c>
      <c r="J703" s="11" t="s">
        <v>49</v>
      </c>
      <c r="K703" s="12" t="s">
        <v>3038</v>
      </c>
      <c r="L703" s="12" t="s">
        <v>3039</v>
      </c>
      <c r="M703" s="11" t="s">
        <v>1643</v>
      </c>
      <c r="N703" s="12" t="s">
        <v>2873</v>
      </c>
      <c r="O703" s="11" t="s">
        <v>25</v>
      </c>
      <c r="P703" s="11" t="s">
        <v>52</v>
      </c>
      <c r="Q703" s="12"/>
    </row>
    <row r="704" customFormat="false" ht="64.15" hidden="false" customHeight="false" outlineLevel="0" collapsed="false">
      <c r="A704" s="11" t="s">
        <v>3040</v>
      </c>
      <c r="B704" s="11" t="s">
        <v>16</v>
      </c>
      <c r="C704" s="11" t="s">
        <v>2949</v>
      </c>
      <c r="D704" s="12" t="s">
        <v>3041</v>
      </c>
      <c r="E704" s="12" t="s">
        <v>3042</v>
      </c>
      <c r="F704" s="12" t="s">
        <v>3041</v>
      </c>
      <c r="G704" s="11" t="s">
        <v>1775</v>
      </c>
      <c r="H704" s="11" t="s">
        <v>5</v>
      </c>
      <c r="I704" s="13" t="n">
        <v>0.380952380952381</v>
      </c>
      <c r="J704" s="11" t="s">
        <v>49</v>
      </c>
      <c r="K704" s="12" t="s">
        <v>3043</v>
      </c>
      <c r="L704" s="12" t="s">
        <v>3044</v>
      </c>
      <c r="M704" s="11" t="s">
        <v>1643</v>
      </c>
      <c r="N704" s="12" t="s">
        <v>2873</v>
      </c>
      <c r="O704" s="11" t="s">
        <v>25</v>
      </c>
      <c r="P704" s="11" t="s">
        <v>52</v>
      </c>
      <c r="Q704" s="12"/>
    </row>
    <row r="705" customFormat="false" ht="64.15" hidden="false" customHeight="false" outlineLevel="0" collapsed="false">
      <c r="A705" s="11" t="s">
        <v>3045</v>
      </c>
      <c r="B705" s="11" t="s">
        <v>16</v>
      </c>
      <c r="C705" s="11" t="s">
        <v>2949</v>
      </c>
      <c r="D705" s="12" t="s">
        <v>3046</v>
      </c>
      <c r="E705" s="12" t="s">
        <v>3047</v>
      </c>
      <c r="F705" s="12" t="s">
        <v>3046</v>
      </c>
      <c r="G705" s="11" t="s">
        <v>1775</v>
      </c>
      <c r="H705" s="11" t="s">
        <v>5</v>
      </c>
      <c r="I705" s="13" t="n">
        <v>0.285714285714286</v>
      </c>
      <c r="J705" s="11" t="s">
        <v>49</v>
      </c>
      <c r="K705" s="12" t="s">
        <v>3048</v>
      </c>
      <c r="L705" s="12" t="s">
        <v>3049</v>
      </c>
      <c r="M705" s="11" t="s">
        <v>1643</v>
      </c>
      <c r="N705" s="12" t="s">
        <v>2873</v>
      </c>
      <c r="O705" s="11" t="s">
        <v>25</v>
      </c>
      <c r="P705" s="11" t="s">
        <v>52</v>
      </c>
      <c r="Q705" s="12"/>
    </row>
    <row r="706" customFormat="false" ht="22.35" hidden="false" customHeight="false" outlineLevel="0" collapsed="false">
      <c r="A706" s="11" t="s">
        <v>3050</v>
      </c>
      <c r="B706" s="11" t="s">
        <v>16</v>
      </c>
      <c r="C706" s="11" t="s">
        <v>2949</v>
      </c>
      <c r="D706" s="12" t="s">
        <v>3051</v>
      </c>
      <c r="E706" s="12" t="s">
        <v>3052</v>
      </c>
      <c r="F706" s="12" t="s">
        <v>3053</v>
      </c>
      <c r="G706" s="11" t="s">
        <v>1775</v>
      </c>
      <c r="H706" s="11" t="s">
        <v>4</v>
      </c>
      <c r="I706" s="13" t="n">
        <v>0.866666666666667</v>
      </c>
      <c r="J706" s="11" t="s">
        <v>49</v>
      </c>
      <c r="K706" s="12" t="s">
        <v>3054</v>
      </c>
      <c r="L706" s="12" t="s">
        <v>3055</v>
      </c>
      <c r="M706" s="11" t="s">
        <v>1643</v>
      </c>
      <c r="N706" s="12" t="s">
        <v>51</v>
      </c>
      <c r="O706" s="11" t="s">
        <v>27</v>
      </c>
      <c r="P706" s="11" t="s">
        <v>52</v>
      </c>
      <c r="Q706" s="12"/>
    </row>
    <row r="707" customFormat="false" ht="32.8" hidden="false" customHeight="false" outlineLevel="0" collapsed="false">
      <c r="A707" s="11" t="s">
        <v>3056</v>
      </c>
      <c r="B707" s="11" t="s">
        <v>16</v>
      </c>
      <c r="C707" s="11" t="s">
        <v>2949</v>
      </c>
      <c r="D707" s="12" t="s">
        <v>3057</v>
      </c>
      <c r="E707" s="12" t="s">
        <v>3058</v>
      </c>
      <c r="F707" s="12" t="s">
        <v>3059</v>
      </c>
      <c r="G707" s="11" t="s">
        <v>1775</v>
      </c>
      <c r="H707" s="11" t="s">
        <v>5</v>
      </c>
      <c r="I707" s="13" t="n">
        <v>0.525</v>
      </c>
      <c r="J707" s="11" t="s">
        <v>49</v>
      </c>
      <c r="K707" s="12" t="s">
        <v>3060</v>
      </c>
      <c r="L707" s="12" t="s">
        <v>3061</v>
      </c>
      <c r="M707" s="11" t="s">
        <v>1643</v>
      </c>
      <c r="N707" s="12" t="s">
        <v>3062</v>
      </c>
      <c r="O707" s="11" t="s">
        <v>25</v>
      </c>
      <c r="P707" s="11" t="s">
        <v>52</v>
      </c>
      <c r="Q707" s="12"/>
    </row>
    <row r="708" customFormat="false" ht="43.25" hidden="false" customHeight="false" outlineLevel="0" collapsed="false">
      <c r="A708" s="11" t="s">
        <v>3063</v>
      </c>
      <c r="B708" s="11" t="s">
        <v>16</v>
      </c>
      <c r="C708" s="11" t="s">
        <v>2949</v>
      </c>
      <c r="D708" s="12" t="s">
        <v>3064</v>
      </c>
      <c r="E708" s="12" t="s">
        <v>3065</v>
      </c>
      <c r="F708" s="12" t="s">
        <v>3066</v>
      </c>
      <c r="G708" s="11" t="s">
        <v>1775</v>
      </c>
      <c r="H708" s="11" t="s">
        <v>4</v>
      </c>
      <c r="I708" s="13" t="n">
        <v>0.7</v>
      </c>
      <c r="J708" s="11" t="s">
        <v>49</v>
      </c>
      <c r="K708" s="12" t="s">
        <v>3067</v>
      </c>
      <c r="L708" s="12" t="s">
        <v>3068</v>
      </c>
      <c r="M708" s="11" t="s">
        <v>1643</v>
      </c>
      <c r="N708" s="12" t="s">
        <v>51</v>
      </c>
      <c r="O708" s="11" t="s">
        <v>27</v>
      </c>
      <c r="P708" s="11" t="s">
        <v>52</v>
      </c>
      <c r="Q708" s="12"/>
    </row>
    <row r="709" customFormat="false" ht="15" hidden="false" customHeight="false" outlineLevel="0" collapsed="false">
      <c r="A709" s="11" t="s">
        <v>3069</v>
      </c>
      <c r="B709" s="11" t="s">
        <v>16</v>
      </c>
      <c r="C709" s="11" t="s">
        <v>2949</v>
      </c>
      <c r="D709" s="12" t="s">
        <v>3070</v>
      </c>
      <c r="E709" s="12" t="s">
        <v>3071</v>
      </c>
      <c r="F709" s="12" t="s">
        <v>2971</v>
      </c>
      <c r="G709" s="11" t="s">
        <v>1775</v>
      </c>
      <c r="H709" s="11" t="s">
        <v>9</v>
      </c>
      <c r="I709" s="13"/>
      <c r="J709" s="11" t="s">
        <v>49</v>
      </c>
      <c r="K709" s="12"/>
      <c r="L709" s="12"/>
      <c r="M709" s="11" t="s">
        <v>1643</v>
      </c>
      <c r="N709" s="12" t="s">
        <v>51</v>
      </c>
      <c r="O709" s="11" t="s">
        <v>28</v>
      </c>
      <c r="P709" s="11" t="s">
        <v>52</v>
      </c>
      <c r="Q709" s="12" t="s">
        <v>3072</v>
      </c>
    </row>
    <row r="710" customFormat="false" ht="22.35" hidden="false" customHeight="false" outlineLevel="0" collapsed="false">
      <c r="A710" s="11" t="s">
        <v>3073</v>
      </c>
      <c r="B710" s="11" t="s">
        <v>16</v>
      </c>
      <c r="C710" s="11" t="s">
        <v>2949</v>
      </c>
      <c r="D710" s="12" t="s">
        <v>3074</v>
      </c>
      <c r="E710" s="12" t="s">
        <v>3075</v>
      </c>
      <c r="F710" s="12" t="s">
        <v>3076</v>
      </c>
      <c r="G710" s="11" t="s">
        <v>2098</v>
      </c>
      <c r="H710" s="11" t="s">
        <v>4</v>
      </c>
      <c r="I710" s="13" t="n">
        <v>1</v>
      </c>
      <c r="J710" s="11" t="s">
        <v>49</v>
      </c>
      <c r="K710" s="12" t="s">
        <v>3077</v>
      </c>
      <c r="L710" s="12"/>
      <c r="M710" s="11" t="s">
        <v>1643</v>
      </c>
      <c r="N710" s="12" t="s">
        <v>51</v>
      </c>
      <c r="O710" s="11" t="s">
        <v>27</v>
      </c>
      <c r="P710" s="11" t="s">
        <v>52</v>
      </c>
      <c r="Q710" s="12"/>
    </row>
    <row r="711" customFormat="false" ht="32.8" hidden="false" customHeight="false" outlineLevel="0" collapsed="false">
      <c r="A711" s="11" t="s">
        <v>3078</v>
      </c>
      <c r="B711" s="11" t="s">
        <v>16</v>
      </c>
      <c r="C711" s="11" t="s">
        <v>2949</v>
      </c>
      <c r="D711" s="12" t="s">
        <v>3079</v>
      </c>
      <c r="E711" s="12" t="s">
        <v>3080</v>
      </c>
      <c r="F711" s="12" t="s">
        <v>3081</v>
      </c>
      <c r="G711" s="11" t="s">
        <v>1775</v>
      </c>
      <c r="H711" s="11" t="s">
        <v>4</v>
      </c>
      <c r="I711" s="13" t="n">
        <v>0.8</v>
      </c>
      <c r="J711" s="11" t="s">
        <v>49</v>
      </c>
      <c r="K711" s="12" t="s">
        <v>3082</v>
      </c>
      <c r="L711" s="12" t="s">
        <v>3083</v>
      </c>
      <c r="M711" s="11" t="s">
        <v>1643</v>
      </c>
      <c r="N711" s="12" t="s">
        <v>51</v>
      </c>
      <c r="O711" s="11" t="s">
        <v>27</v>
      </c>
      <c r="P711" s="11" t="s">
        <v>52</v>
      </c>
      <c r="Q711" s="12"/>
    </row>
    <row r="712" customFormat="false" ht="32.8" hidden="false" customHeight="false" outlineLevel="0" collapsed="false">
      <c r="A712" s="11" t="s">
        <v>3084</v>
      </c>
      <c r="B712" s="11" t="s">
        <v>16</v>
      </c>
      <c r="C712" s="11" t="s">
        <v>2949</v>
      </c>
      <c r="D712" s="12" t="s">
        <v>3085</v>
      </c>
      <c r="E712" s="12" t="s">
        <v>3086</v>
      </c>
      <c r="F712" s="12" t="s">
        <v>3087</v>
      </c>
      <c r="G712" s="11" t="s">
        <v>1775</v>
      </c>
      <c r="H712" s="11" t="s">
        <v>4</v>
      </c>
      <c r="I712" s="13" t="n">
        <v>0.8125</v>
      </c>
      <c r="J712" s="11" t="s">
        <v>49</v>
      </c>
      <c r="K712" s="12" t="s">
        <v>3088</v>
      </c>
      <c r="L712" s="12" t="s">
        <v>3089</v>
      </c>
      <c r="M712" s="11" t="s">
        <v>1643</v>
      </c>
      <c r="N712" s="12" t="s">
        <v>51</v>
      </c>
      <c r="O712" s="11" t="s">
        <v>27</v>
      </c>
      <c r="P712" s="11" t="s">
        <v>52</v>
      </c>
      <c r="Q712" s="12"/>
    </row>
    <row r="713" customFormat="false" ht="43.25" hidden="false" customHeight="false" outlineLevel="0" collapsed="false">
      <c r="A713" s="11" t="s">
        <v>3090</v>
      </c>
      <c r="B713" s="11" t="s">
        <v>16</v>
      </c>
      <c r="C713" s="11" t="s">
        <v>2949</v>
      </c>
      <c r="D713" s="12" t="s">
        <v>3091</v>
      </c>
      <c r="E713" s="12" t="s">
        <v>3092</v>
      </c>
      <c r="F713" s="12" t="s">
        <v>2132</v>
      </c>
      <c r="G713" s="11" t="s">
        <v>1775</v>
      </c>
      <c r="H713" s="11" t="s">
        <v>4</v>
      </c>
      <c r="I713" s="13" t="n">
        <v>0.65</v>
      </c>
      <c r="J713" s="11" t="s">
        <v>49</v>
      </c>
      <c r="K713" s="12" t="s">
        <v>3093</v>
      </c>
      <c r="L713" s="12" t="s">
        <v>3094</v>
      </c>
      <c r="M713" s="11" t="s">
        <v>1643</v>
      </c>
      <c r="N713" s="12" t="s">
        <v>51</v>
      </c>
      <c r="O713" s="11" t="s">
        <v>27</v>
      </c>
      <c r="P713" s="11" t="s">
        <v>52</v>
      </c>
      <c r="Q713" s="12"/>
    </row>
    <row r="714" customFormat="false" ht="43.25" hidden="false" customHeight="false" outlineLevel="0" collapsed="false">
      <c r="A714" s="11" t="s">
        <v>3095</v>
      </c>
      <c r="B714" s="11" t="s">
        <v>16</v>
      </c>
      <c r="C714" s="11" t="s">
        <v>2949</v>
      </c>
      <c r="D714" s="12" t="s">
        <v>3096</v>
      </c>
      <c r="E714" s="12" t="s">
        <v>3097</v>
      </c>
      <c r="F714" s="12" t="s">
        <v>3098</v>
      </c>
      <c r="G714" s="11" t="s">
        <v>1775</v>
      </c>
      <c r="H714" s="11" t="s">
        <v>4</v>
      </c>
      <c r="I714" s="13" t="n">
        <v>0.555555555555556</v>
      </c>
      <c r="J714" s="11" t="s">
        <v>49</v>
      </c>
      <c r="K714" s="12" t="s">
        <v>3099</v>
      </c>
      <c r="L714" s="12" t="s">
        <v>3100</v>
      </c>
      <c r="M714" s="11" t="s">
        <v>1643</v>
      </c>
      <c r="N714" s="12" t="s">
        <v>51</v>
      </c>
      <c r="O714" s="11" t="s">
        <v>27</v>
      </c>
      <c r="P714" s="11" t="s">
        <v>52</v>
      </c>
      <c r="Q714" s="12"/>
    </row>
    <row r="715" customFormat="false" ht="43.25" hidden="false" customHeight="false" outlineLevel="0" collapsed="false">
      <c r="A715" s="11" t="s">
        <v>3101</v>
      </c>
      <c r="B715" s="11" t="s">
        <v>16</v>
      </c>
      <c r="C715" s="11" t="s">
        <v>2949</v>
      </c>
      <c r="D715" s="12" t="s">
        <v>3102</v>
      </c>
      <c r="E715" s="12" t="s">
        <v>3103</v>
      </c>
      <c r="F715" s="12" t="s">
        <v>3104</v>
      </c>
      <c r="G715" s="11" t="s">
        <v>1775</v>
      </c>
      <c r="H715" s="11" t="s">
        <v>4</v>
      </c>
      <c r="I715" s="13" t="n">
        <v>0.6</v>
      </c>
      <c r="J715" s="11" t="s">
        <v>49</v>
      </c>
      <c r="K715" s="12" t="s">
        <v>3105</v>
      </c>
      <c r="L715" s="12" t="s">
        <v>3106</v>
      </c>
      <c r="M715" s="11" t="s">
        <v>1643</v>
      </c>
      <c r="N715" s="12" t="s">
        <v>51</v>
      </c>
      <c r="O715" s="11" t="s">
        <v>27</v>
      </c>
      <c r="P715" s="11" t="s">
        <v>52</v>
      </c>
      <c r="Q715" s="12"/>
    </row>
    <row r="716" customFormat="false" ht="22.35" hidden="false" customHeight="false" outlineLevel="0" collapsed="false">
      <c r="A716" s="11" t="s">
        <v>3107</v>
      </c>
      <c r="B716" s="11" t="s">
        <v>16</v>
      </c>
      <c r="C716" s="11" t="s">
        <v>2949</v>
      </c>
      <c r="D716" s="12" t="s">
        <v>3108</v>
      </c>
      <c r="E716" s="12" t="s">
        <v>3109</v>
      </c>
      <c r="F716" s="12" t="s">
        <v>3110</v>
      </c>
      <c r="G716" s="11" t="s">
        <v>1775</v>
      </c>
      <c r="H716" s="11" t="s">
        <v>4</v>
      </c>
      <c r="I716" s="13" t="n">
        <v>0.909090909090909</v>
      </c>
      <c r="J716" s="11" t="s">
        <v>49</v>
      </c>
      <c r="K716" s="12" t="s">
        <v>3111</v>
      </c>
      <c r="L716" s="12" t="s">
        <v>3112</v>
      </c>
      <c r="M716" s="11" t="s">
        <v>1643</v>
      </c>
      <c r="N716" s="12" t="s">
        <v>51</v>
      </c>
      <c r="O716" s="11" t="s">
        <v>27</v>
      </c>
      <c r="P716" s="11" t="s">
        <v>52</v>
      </c>
      <c r="Q716" s="12"/>
    </row>
    <row r="717" customFormat="false" ht="22.35" hidden="false" customHeight="false" outlineLevel="0" collapsed="false">
      <c r="A717" s="11" t="s">
        <v>3113</v>
      </c>
      <c r="B717" s="11" t="s">
        <v>16</v>
      </c>
      <c r="C717" s="11" t="s">
        <v>2949</v>
      </c>
      <c r="D717" s="12" t="s">
        <v>3114</v>
      </c>
      <c r="E717" s="12" t="s">
        <v>3115</v>
      </c>
      <c r="F717" s="12" t="s">
        <v>3116</v>
      </c>
      <c r="G717" s="11" t="s">
        <v>1775</v>
      </c>
      <c r="H717" s="11" t="s">
        <v>4</v>
      </c>
      <c r="I717" s="13" t="n">
        <v>0.818181818181818</v>
      </c>
      <c r="J717" s="11" t="s">
        <v>49</v>
      </c>
      <c r="K717" s="12" t="s">
        <v>3117</v>
      </c>
      <c r="L717" s="12" t="s">
        <v>3118</v>
      </c>
      <c r="M717" s="11" t="s">
        <v>1643</v>
      </c>
      <c r="N717" s="12" t="s">
        <v>51</v>
      </c>
      <c r="O717" s="11" t="s">
        <v>27</v>
      </c>
      <c r="P717" s="11" t="s">
        <v>52</v>
      </c>
      <c r="Q717" s="12"/>
    </row>
    <row r="718" customFormat="false" ht="105.95" hidden="false" customHeight="false" outlineLevel="0" collapsed="false">
      <c r="A718" s="11" t="s">
        <v>3119</v>
      </c>
      <c r="B718" s="11" t="s">
        <v>16</v>
      </c>
      <c r="C718" s="11" t="s">
        <v>2949</v>
      </c>
      <c r="D718" s="12" t="s">
        <v>3120</v>
      </c>
      <c r="E718" s="12" t="s">
        <v>3121</v>
      </c>
      <c r="F718" s="12" t="s">
        <v>3120</v>
      </c>
      <c r="G718" s="11" t="s">
        <v>1775</v>
      </c>
      <c r="H718" s="11" t="s">
        <v>5</v>
      </c>
      <c r="I718" s="13" t="n">
        <v>0.25</v>
      </c>
      <c r="J718" s="11" t="s">
        <v>49</v>
      </c>
      <c r="K718" s="12" t="s">
        <v>3122</v>
      </c>
      <c r="L718" s="12" t="s">
        <v>3123</v>
      </c>
      <c r="M718" s="11" t="s">
        <v>1643</v>
      </c>
      <c r="N718" s="12" t="s">
        <v>2809</v>
      </c>
      <c r="O718" s="11" t="s">
        <v>25</v>
      </c>
      <c r="P718" s="11" t="s">
        <v>52</v>
      </c>
      <c r="Q718" s="12"/>
    </row>
    <row r="719" customFormat="false" ht="43.25" hidden="false" customHeight="false" outlineLevel="0" collapsed="false">
      <c r="A719" s="11" t="s">
        <v>3124</v>
      </c>
      <c r="B719" s="11" t="s">
        <v>16</v>
      </c>
      <c r="C719" s="11" t="s">
        <v>3125</v>
      </c>
      <c r="D719" s="12" t="s">
        <v>3126</v>
      </c>
      <c r="E719" s="12" t="s">
        <v>3127</v>
      </c>
      <c r="F719" s="12" t="s">
        <v>3128</v>
      </c>
      <c r="G719" s="11" t="s">
        <v>1775</v>
      </c>
      <c r="H719" s="11" t="s">
        <v>4</v>
      </c>
      <c r="I719" s="13" t="n">
        <v>0.619047619047619</v>
      </c>
      <c r="J719" s="11" t="s">
        <v>49</v>
      </c>
      <c r="K719" s="12" t="s">
        <v>3129</v>
      </c>
      <c r="L719" s="12" t="s">
        <v>3130</v>
      </c>
      <c r="M719" s="11" t="s">
        <v>50</v>
      </c>
      <c r="N719" s="12" t="s">
        <v>51</v>
      </c>
      <c r="O719" s="11" t="s">
        <v>27</v>
      </c>
      <c r="P719" s="11" t="s">
        <v>52</v>
      </c>
      <c r="Q719" s="12"/>
    </row>
    <row r="720" customFormat="false" ht="22.35" hidden="false" customHeight="false" outlineLevel="0" collapsed="false">
      <c r="A720" s="11" t="s">
        <v>3131</v>
      </c>
      <c r="B720" s="11" t="s">
        <v>16</v>
      </c>
      <c r="C720" s="11" t="s">
        <v>3125</v>
      </c>
      <c r="D720" s="12" t="s">
        <v>3132</v>
      </c>
      <c r="E720" s="12" t="s">
        <v>3133</v>
      </c>
      <c r="F720" s="12" t="s">
        <v>3134</v>
      </c>
      <c r="G720" s="11" t="s">
        <v>1775</v>
      </c>
      <c r="H720" s="11" t="s">
        <v>4</v>
      </c>
      <c r="I720" s="13" t="n">
        <v>0.75</v>
      </c>
      <c r="J720" s="11" t="s">
        <v>49</v>
      </c>
      <c r="K720" s="12" t="s">
        <v>3135</v>
      </c>
      <c r="L720" s="12" t="s">
        <v>3136</v>
      </c>
      <c r="M720" s="11" t="s">
        <v>50</v>
      </c>
      <c r="N720" s="12" t="s">
        <v>51</v>
      </c>
      <c r="O720" s="11" t="s">
        <v>27</v>
      </c>
      <c r="P720" s="11" t="s">
        <v>52</v>
      </c>
      <c r="Q720" s="12"/>
    </row>
    <row r="721" customFormat="false" ht="22.35" hidden="false" customHeight="false" outlineLevel="0" collapsed="false">
      <c r="A721" s="11" t="s">
        <v>3137</v>
      </c>
      <c r="B721" s="11" t="s">
        <v>16</v>
      </c>
      <c r="C721" s="11" t="s">
        <v>3125</v>
      </c>
      <c r="D721" s="12" t="s">
        <v>3138</v>
      </c>
      <c r="E721" s="12" t="s">
        <v>3139</v>
      </c>
      <c r="F721" s="12" t="s">
        <v>3140</v>
      </c>
      <c r="G721" s="11" t="s">
        <v>1775</v>
      </c>
      <c r="H721" s="11" t="s">
        <v>4</v>
      </c>
      <c r="I721" s="13" t="n">
        <v>0.666666666666667</v>
      </c>
      <c r="J721" s="11" t="s">
        <v>49</v>
      </c>
      <c r="K721" s="12" t="s">
        <v>3141</v>
      </c>
      <c r="L721" s="12" t="s">
        <v>3142</v>
      </c>
      <c r="M721" s="11" t="s">
        <v>50</v>
      </c>
      <c r="N721" s="12" t="s">
        <v>51</v>
      </c>
      <c r="O721" s="11" t="s">
        <v>27</v>
      </c>
      <c r="P721" s="11" t="s">
        <v>52</v>
      </c>
      <c r="Q721" s="12"/>
    </row>
    <row r="722" customFormat="false" ht="22.35" hidden="false" customHeight="false" outlineLevel="0" collapsed="false">
      <c r="A722" s="11" t="s">
        <v>3143</v>
      </c>
      <c r="B722" s="11" t="s">
        <v>16</v>
      </c>
      <c r="C722" s="11" t="s">
        <v>3125</v>
      </c>
      <c r="D722" s="12" t="s">
        <v>3144</v>
      </c>
      <c r="E722" s="12" t="s">
        <v>3145</v>
      </c>
      <c r="F722" s="12" t="s">
        <v>3146</v>
      </c>
      <c r="G722" s="11" t="s">
        <v>1775</v>
      </c>
      <c r="H722" s="11" t="s">
        <v>4</v>
      </c>
      <c r="I722" s="13" t="n">
        <v>0.631578947368421</v>
      </c>
      <c r="J722" s="11" t="s">
        <v>49</v>
      </c>
      <c r="K722" s="12" t="s">
        <v>3147</v>
      </c>
      <c r="L722" s="12" t="s">
        <v>3148</v>
      </c>
      <c r="M722" s="11" t="s">
        <v>50</v>
      </c>
      <c r="N722" s="12" t="s">
        <v>51</v>
      </c>
      <c r="O722" s="11" t="s">
        <v>27</v>
      </c>
      <c r="P722" s="11" t="s">
        <v>52</v>
      </c>
      <c r="Q722" s="12"/>
    </row>
    <row r="723" customFormat="false" ht="22.35" hidden="false" customHeight="false" outlineLevel="0" collapsed="false">
      <c r="A723" s="11" t="s">
        <v>3149</v>
      </c>
      <c r="B723" s="11" t="s">
        <v>16</v>
      </c>
      <c r="C723" s="11" t="s">
        <v>3125</v>
      </c>
      <c r="D723" s="12" t="s">
        <v>3150</v>
      </c>
      <c r="E723" s="12" t="s">
        <v>3151</v>
      </c>
      <c r="F723" s="12" t="s">
        <v>3152</v>
      </c>
      <c r="G723" s="11" t="s">
        <v>1775</v>
      </c>
      <c r="H723" s="11" t="s">
        <v>4</v>
      </c>
      <c r="I723" s="13" t="n">
        <v>0.833333333333333</v>
      </c>
      <c r="J723" s="11" t="s">
        <v>49</v>
      </c>
      <c r="K723" s="12" t="s">
        <v>3153</v>
      </c>
      <c r="L723" s="12" t="s">
        <v>3154</v>
      </c>
      <c r="M723" s="11" t="s">
        <v>50</v>
      </c>
      <c r="N723" s="12" t="s">
        <v>51</v>
      </c>
      <c r="O723" s="11" t="s">
        <v>27</v>
      </c>
      <c r="P723" s="11" t="s">
        <v>52</v>
      </c>
      <c r="Q723" s="12"/>
    </row>
    <row r="724" customFormat="false" ht="53.7" hidden="false" customHeight="false" outlineLevel="0" collapsed="false">
      <c r="A724" s="11" t="s">
        <v>3155</v>
      </c>
      <c r="B724" s="11" t="s">
        <v>16</v>
      </c>
      <c r="C724" s="11" t="s">
        <v>3125</v>
      </c>
      <c r="D724" s="12" t="s">
        <v>3156</v>
      </c>
      <c r="E724" s="12" t="s">
        <v>3157</v>
      </c>
      <c r="F724" s="12" t="s">
        <v>3158</v>
      </c>
      <c r="G724" s="11" t="s">
        <v>1775</v>
      </c>
      <c r="H724" s="11" t="s">
        <v>6</v>
      </c>
      <c r="I724" s="13" t="n">
        <v>0.230769230769231</v>
      </c>
      <c r="J724" s="11" t="s">
        <v>49</v>
      </c>
      <c r="K724" s="12" t="s">
        <v>3159</v>
      </c>
      <c r="L724" s="12" t="s">
        <v>3160</v>
      </c>
      <c r="M724" s="11" t="s">
        <v>50</v>
      </c>
      <c r="N724" s="12" t="s">
        <v>3161</v>
      </c>
      <c r="O724" s="11" t="s">
        <v>25</v>
      </c>
      <c r="P724" s="11" t="s">
        <v>52</v>
      </c>
      <c r="Q724" s="12"/>
    </row>
    <row r="725" customFormat="false" ht="22.35" hidden="false" customHeight="false" outlineLevel="0" collapsed="false">
      <c r="A725" s="11" t="s">
        <v>3162</v>
      </c>
      <c r="B725" s="11" t="s">
        <v>16</v>
      </c>
      <c r="C725" s="11" t="s">
        <v>3125</v>
      </c>
      <c r="D725" s="12" t="s">
        <v>3163</v>
      </c>
      <c r="E725" s="12" t="s">
        <v>3164</v>
      </c>
      <c r="F725" s="12" t="s">
        <v>3165</v>
      </c>
      <c r="G725" s="11" t="s">
        <v>1775</v>
      </c>
      <c r="H725" s="11" t="s">
        <v>4</v>
      </c>
      <c r="I725" s="13" t="n">
        <v>0.666666666666667</v>
      </c>
      <c r="J725" s="11" t="s">
        <v>49</v>
      </c>
      <c r="K725" s="12" t="s">
        <v>3166</v>
      </c>
      <c r="L725" s="12" t="s">
        <v>3167</v>
      </c>
      <c r="M725" s="11" t="s">
        <v>50</v>
      </c>
      <c r="N725" s="12" t="s">
        <v>51</v>
      </c>
      <c r="O725" s="11" t="s">
        <v>27</v>
      </c>
      <c r="P725" s="11" t="s">
        <v>52</v>
      </c>
      <c r="Q725" s="12"/>
    </row>
    <row r="726" customFormat="false" ht="22.35" hidden="false" customHeight="false" outlineLevel="0" collapsed="false">
      <c r="A726" s="11" t="s">
        <v>3168</v>
      </c>
      <c r="B726" s="11" t="s">
        <v>16</v>
      </c>
      <c r="C726" s="11" t="s">
        <v>3125</v>
      </c>
      <c r="D726" s="12" t="s">
        <v>3169</v>
      </c>
      <c r="E726" s="12" t="s">
        <v>3170</v>
      </c>
      <c r="F726" s="12" t="s">
        <v>3171</v>
      </c>
      <c r="G726" s="11" t="s">
        <v>1775</v>
      </c>
      <c r="H726" s="11" t="s">
        <v>4</v>
      </c>
      <c r="I726" s="13" t="n">
        <v>0.833333333333333</v>
      </c>
      <c r="J726" s="11" t="s">
        <v>49</v>
      </c>
      <c r="K726" s="12" t="s">
        <v>3172</v>
      </c>
      <c r="L726" s="12" t="s">
        <v>3173</v>
      </c>
      <c r="M726" s="11" t="s">
        <v>50</v>
      </c>
      <c r="N726" s="12" t="s">
        <v>51</v>
      </c>
      <c r="O726" s="11" t="s">
        <v>27</v>
      </c>
      <c r="P726" s="11" t="s">
        <v>52</v>
      </c>
      <c r="Q726" s="12"/>
    </row>
    <row r="727" customFormat="false" ht="32.8" hidden="false" customHeight="false" outlineLevel="0" collapsed="false">
      <c r="A727" s="11" t="s">
        <v>3174</v>
      </c>
      <c r="B727" s="11" t="s">
        <v>16</v>
      </c>
      <c r="C727" s="11" t="s">
        <v>3125</v>
      </c>
      <c r="D727" s="12" t="s">
        <v>2000</v>
      </c>
      <c r="E727" s="12" t="s">
        <v>3175</v>
      </c>
      <c r="F727" s="12" t="s">
        <v>3176</v>
      </c>
      <c r="G727" s="11" t="s">
        <v>1775</v>
      </c>
      <c r="H727" s="11" t="s">
        <v>4</v>
      </c>
      <c r="I727" s="13" t="n">
        <v>0.727272727272727</v>
      </c>
      <c r="J727" s="11" t="s">
        <v>49</v>
      </c>
      <c r="K727" s="12" t="s">
        <v>3177</v>
      </c>
      <c r="L727" s="12" t="s">
        <v>3178</v>
      </c>
      <c r="M727" s="11" t="s">
        <v>50</v>
      </c>
      <c r="N727" s="12" t="s">
        <v>51</v>
      </c>
      <c r="O727" s="11" t="s">
        <v>27</v>
      </c>
      <c r="P727" s="11" t="s">
        <v>52</v>
      </c>
      <c r="Q727" s="12"/>
    </row>
    <row r="728" customFormat="false" ht="53.7" hidden="false" customHeight="false" outlineLevel="0" collapsed="false">
      <c r="A728" s="11" t="s">
        <v>3179</v>
      </c>
      <c r="B728" s="11" t="s">
        <v>16</v>
      </c>
      <c r="C728" s="11" t="s">
        <v>3180</v>
      </c>
      <c r="D728" s="12" t="s">
        <v>3181</v>
      </c>
      <c r="E728" s="12" t="s">
        <v>3182</v>
      </c>
      <c r="F728" s="12" t="s">
        <v>3183</v>
      </c>
      <c r="G728" s="11" t="s">
        <v>1775</v>
      </c>
      <c r="H728" s="11" t="s">
        <v>5</v>
      </c>
      <c r="I728" s="13" t="n">
        <v>0.529411764705882</v>
      </c>
      <c r="J728" s="11" t="s">
        <v>49</v>
      </c>
      <c r="K728" s="12" t="s">
        <v>3184</v>
      </c>
      <c r="L728" s="12" t="s">
        <v>3185</v>
      </c>
      <c r="M728" s="11" t="s">
        <v>1809</v>
      </c>
      <c r="N728" s="12" t="s">
        <v>3186</v>
      </c>
      <c r="O728" s="11" t="s">
        <v>26</v>
      </c>
      <c r="P728" s="11" t="s">
        <v>52</v>
      </c>
      <c r="Q728" s="12"/>
    </row>
    <row r="729" customFormat="false" ht="22.35" hidden="false" customHeight="false" outlineLevel="0" collapsed="false">
      <c r="A729" s="11" t="s">
        <v>3187</v>
      </c>
      <c r="B729" s="11" t="s">
        <v>16</v>
      </c>
      <c r="C729" s="11" t="s">
        <v>3180</v>
      </c>
      <c r="D729" s="12" t="s">
        <v>3188</v>
      </c>
      <c r="E729" s="12" t="s">
        <v>3189</v>
      </c>
      <c r="F729" s="12" t="s">
        <v>3190</v>
      </c>
      <c r="G729" s="11" t="s">
        <v>1775</v>
      </c>
      <c r="H729" s="11" t="s">
        <v>5</v>
      </c>
      <c r="I729" s="13" t="n">
        <v>0.5</v>
      </c>
      <c r="J729" s="11" t="s">
        <v>49</v>
      </c>
      <c r="K729" s="12" t="s">
        <v>3191</v>
      </c>
      <c r="L729" s="12" t="s">
        <v>3192</v>
      </c>
      <c r="M729" s="11" t="s">
        <v>1809</v>
      </c>
      <c r="N729" s="12" t="s">
        <v>3186</v>
      </c>
      <c r="O729" s="11" t="s">
        <v>26</v>
      </c>
      <c r="P729" s="11" t="s">
        <v>52</v>
      </c>
      <c r="Q729" s="12"/>
    </row>
    <row r="730" customFormat="false" ht="64.15" hidden="false" customHeight="false" outlineLevel="0" collapsed="false">
      <c r="A730" s="11" t="s">
        <v>3193</v>
      </c>
      <c r="B730" s="11" t="s">
        <v>16</v>
      </c>
      <c r="C730" s="11" t="s">
        <v>3180</v>
      </c>
      <c r="D730" s="12" t="s">
        <v>3194</v>
      </c>
      <c r="E730" s="12" t="s">
        <v>3195</v>
      </c>
      <c r="F730" s="12" t="s">
        <v>3196</v>
      </c>
      <c r="G730" s="11" t="s">
        <v>1775</v>
      </c>
      <c r="H730" s="11" t="s">
        <v>5</v>
      </c>
      <c r="I730" s="13" t="n">
        <v>0.5</v>
      </c>
      <c r="J730" s="11" t="s">
        <v>49</v>
      </c>
      <c r="K730" s="12" t="s">
        <v>3197</v>
      </c>
      <c r="L730" s="12" t="s">
        <v>3198</v>
      </c>
      <c r="M730" s="11" t="s">
        <v>1809</v>
      </c>
      <c r="N730" s="12" t="s">
        <v>3186</v>
      </c>
      <c r="O730" s="11" t="s">
        <v>26</v>
      </c>
      <c r="P730" s="11" t="s">
        <v>52</v>
      </c>
      <c r="Q730" s="12"/>
    </row>
    <row r="731" customFormat="false" ht="22.35" hidden="false" customHeight="false" outlineLevel="0" collapsed="false">
      <c r="A731" s="11" t="s">
        <v>3199</v>
      </c>
      <c r="B731" s="11" t="s">
        <v>16</v>
      </c>
      <c r="C731" s="11" t="s">
        <v>3180</v>
      </c>
      <c r="D731" s="12" t="s">
        <v>3200</v>
      </c>
      <c r="E731" s="12" t="s">
        <v>3201</v>
      </c>
      <c r="F731" s="12" t="s">
        <v>3202</v>
      </c>
      <c r="G731" s="11" t="s">
        <v>1775</v>
      </c>
      <c r="H731" s="11" t="s">
        <v>6</v>
      </c>
      <c r="I731" s="13" t="n">
        <v>0</v>
      </c>
      <c r="J731" s="11" t="s">
        <v>49</v>
      </c>
      <c r="K731" s="12"/>
      <c r="L731" s="12" t="s">
        <v>3203</v>
      </c>
      <c r="M731" s="11" t="s">
        <v>1809</v>
      </c>
      <c r="N731" s="12" t="s">
        <v>3204</v>
      </c>
      <c r="O731" s="11" t="s">
        <v>26</v>
      </c>
      <c r="P731" s="11" t="s">
        <v>52</v>
      </c>
      <c r="Q731" s="12"/>
    </row>
    <row r="732" customFormat="false" ht="53.7" hidden="false" customHeight="false" outlineLevel="0" collapsed="false">
      <c r="A732" s="11" t="s">
        <v>3205</v>
      </c>
      <c r="B732" s="11" t="s">
        <v>16</v>
      </c>
      <c r="C732" s="11" t="s">
        <v>3180</v>
      </c>
      <c r="D732" s="12" t="s">
        <v>3206</v>
      </c>
      <c r="E732" s="12" t="s">
        <v>3207</v>
      </c>
      <c r="F732" s="12" t="s">
        <v>3208</v>
      </c>
      <c r="G732" s="11" t="s">
        <v>1775</v>
      </c>
      <c r="H732" s="11" t="s">
        <v>6</v>
      </c>
      <c r="I732" s="13" t="n">
        <v>0</v>
      </c>
      <c r="J732" s="11" t="s">
        <v>49</v>
      </c>
      <c r="K732" s="12"/>
      <c r="L732" s="12" t="s">
        <v>3209</v>
      </c>
      <c r="M732" s="11" t="s">
        <v>1809</v>
      </c>
      <c r="N732" s="12" t="s">
        <v>3204</v>
      </c>
      <c r="O732" s="11" t="s">
        <v>26</v>
      </c>
      <c r="P732" s="11" t="s">
        <v>52</v>
      </c>
      <c r="Q732" s="12"/>
    </row>
    <row r="733" customFormat="false" ht="64.15" hidden="false" customHeight="false" outlineLevel="0" collapsed="false">
      <c r="A733" s="11" t="s">
        <v>3210</v>
      </c>
      <c r="B733" s="11" t="s">
        <v>16</v>
      </c>
      <c r="C733" s="11" t="s">
        <v>3180</v>
      </c>
      <c r="D733" s="12" t="s">
        <v>3211</v>
      </c>
      <c r="E733" s="12" t="s">
        <v>3212</v>
      </c>
      <c r="F733" s="12" t="s">
        <v>3213</v>
      </c>
      <c r="G733" s="11" t="s">
        <v>1775</v>
      </c>
      <c r="H733" s="11" t="s">
        <v>5</v>
      </c>
      <c r="I733" s="13" t="n">
        <v>0.5</v>
      </c>
      <c r="J733" s="11" t="s">
        <v>49</v>
      </c>
      <c r="K733" s="12" t="s">
        <v>3214</v>
      </c>
      <c r="L733" s="12" t="s">
        <v>3215</v>
      </c>
      <c r="M733" s="11" t="s">
        <v>1809</v>
      </c>
      <c r="N733" s="12" t="s">
        <v>3186</v>
      </c>
      <c r="O733" s="11" t="s">
        <v>26</v>
      </c>
      <c r="P733" s="11" t="s">
        <v>52</v>
      </c>
      <c r="Q733" s="12"/>
    </row>
    <row r="734" customFormat="false" ht="43.25" hidden="false" customHeight="false" outlineLevel="0" collapsed="false">
      <c r="A734" s="11" t="s">
        <v>3216</v>
      </c>
      <c r="B734" s="11" t="s">
        <v>16</v>
      </c>
      <c r="C734" s="11" t="s">
        <v>3180</v>
      </c>
      <c r="D734" s="12" t="s">
        <v>3217</v>
      </c>
      <c r="E734" s="12" t="s">
        <v>3218</v>
      </c>
      <c r="F734" s="12" t="s">
        <v>3219</v>
      </c>
      <c r="G734" s="11" t="s">
        <v>1775</v>
      </c>
      <c r="H734" s="11" t="s">
        <v>4</v>
      </c>
      <c r="I734" s="13" t="n">
        <v>0.625</v>
      </c>
      <c r="J734" s="11" t="s">
        <v>49</v>
      </c>
      <c r="K734" s="12" t="s">
        <v>3220</v>
      </c>
      <c r="L734" s="12" t="s">
        <v>3221</v>
      </c>
      <c r="M734" s="11" t="s">
        <v>1809</v>
      </c>
      <c r="N734" s="12" t="s">
        <v>51</v>
      </c>
      <c r="O734" s="11" t="s">
        <v>27</v>
      </c>
      <c r="P734" s="11" t="s">
        <v>52</v>
      </c>
      <c r="Q734" s="12"/>
    </row>
    <row r="735" customFormat="false" ht="64.15" hidden="false" customHeight="false" outlineLevel="0" collapsed="false">
      <c r="A735" s="11" t="s">
        <v>3222</v>
      </c>
      <c r="B735" s="11" t="s">
        <v>16</v>
      </c>
      <c r="C735" s="11" t="s">
        <v>3180</v>
      </c>
      <c r="D735" s="12" t="s">
        <v>3223</v>
      </c>
      <c r="E735" s="12" t="s">
        <v>3224</v>
      </c>
      <c r="F735" s="12" t="s">
        <v>3225</v>
      </c>
      <c r="G735" s="11" t="s">
        <v>1775</v>
      </c>
      <c r="H735" s="11" t="s">
        <v>6</v>
      </c>
      <c r="I735" s="13" t="n">
        <v>0.222222222222222</v>
      </c>
      <c r="J735" s="11" t="s">
        <v>49</v>
      </c>
      <c r="K735" s="12" t="s">
        <v>3135</v>
      </c>
      <c r="L735" s="12" t="s">
        <v>3226</v>
      </c>
      <c r="M735" s="11" t="s">
        <v>1809</v>
      </c>
      <c r="N735" s="12" t="s">
        <v>3204</v>
      </c>
      <c r="O735" s="11" t="s">
        <v>26</v>
      </c>
      <c r="P735" s="11" t="s">
        <v>52</v>
      </c>
      <c r="Q735" s="12"/>
    </row>
    <row r="736" customFormat="false" ht="32.8" hidden="false" customHeight="false" outlineLevel="0" collapsed="false">
      <c r="A736" s="11" t="s">
        <v>3227</v>
      </c>
      <c r="B736" s="11" t="s">
        <v>16</v>
      </c>
      <c r="C736" s="11" t="s">
        <v>3180</v>
      </c>
      <c r="D736" s="12" t="s">
        <v>3228</v>
      </c>
      <c r="E736" s="12" t="s">
        <v>3229</v>
      </c>
      <c r="F736" s="12" t="s">
        <v>3230</v>
      </c>
      <c r="G736" s="11" t="s">
        <v>1775</v>
      </c>
      <c r="H736" s="11" t="s">
        <v>4</v>
      </c>
      <c r="I736" s="13" t="n">
        <v>0.6</v>
      </c>
      <c r="J736" s="11" t="s">
        <v>49</v>
      </c>
      <c r="K736" s="12" t="s">
        <v>3231</v>
      </c>
      <c r="L736" s="12" t="s">
        <v>3232</v>
      </c>
      <c r="M736" s="11" t="s">
        <v>1809</v>
      </c>
      <c r="N736" s="12" t="s">
        <v>51</v>
      </c>
      <c r="O736" s="11" t="s">
        <v>27</v>
      </c>
      <c r="P736" s="11" t="s">
        <v>52</v>
      </c>
      <c r="Q736" s="12"/>
    </row>
    <row r="737" customFormat="false" ht="32.8" hidden="false" customHeight="false" outlineLevel="0" collapsed="false">
      <c r="A737" s="11" t="s">
        <v>3233</v>
      </c>
      <c r="B737" s="11" t="s">
        <v>16</v>
      </c>
      <c r="C737" s="11" t="s">
        <v>3180</v>
      </c>
      <c r="D737" s="12" t="s">
        <v>3234</v>
      </c>
      <c r="E737" s="12" t="s">
        <v>3235</v>
      </c>
      <c r="F737" s="12" t="s">
        <v>3236</v>
      </c>
      <c r="G737" s="11" t="s">
        <v>1775</v>
      </c>
      <c r="H737" s="11" t="s">
        <v>5</v>
      </c>
      <c r="I737" s="13" t="n">
        <v>0.25</v>
      </c>
      <c r="J737" s="11" t="s">
        <v>49</v>
      </c>
      <c r="K737" s="12"/>
      <c r="L737" s="12" t="s">
        <v>3237</v>
      </c>
      <c r="M737" s="11" t="s">
        <v>1809</v>
      </c>
      <c r="N737" s="12" t="s">
        <v>3186</v>
      </c>
      <c r="O737" s="11" t="s">
        <v>26</v>
      </c>
      <c r="P737" s="11" t="s">
        <v>52</v>
      </c>
      <c r="Q737" s="12"/>
    </row>
    <row r="738" customFormat="false" ht="32.8" hidden="false" customHeight="false" outlineLevel="0" collapsed="false">
      <c r="A738" s="11" t="s">
        <v>3238</v>
      </c>
      <c r="B738" s="11" t="s">
        <v>16</v>
      </c>
      <c r="C738" s="11" t="s">
        <v>3180</v>
      </c>
      <c r="D738" s="12" t="s">
        <v>3239</v>
      </c>
      <c r="E738" s="12" t="s">
        <v>3240</v>
      </c>
      <c r="F738" s="12" t="s">
        <v>3241</v>
      </c>
      <c r="G738" s="11" t="s">
        <v>1775</v>
      </c>
      <c r="H738" s="11" t="s">
        <v>5</v>
      </c>
      <c r="I738" s="13" t="n">
        <v>0.4</v>
      </c>
      <c r="J738" s="11" t="s">
        <v>49</v>
      </c>
      <c r="K738" s="12" t="s">
        <v>3242</v>
      </c>
      <c r="L738" s="12" t="s">
        <v>3243</v>
      </c>
      <c r="M738" s="11" t="s">
        <v>1809</v>
      </c>
      <c r="N738" s="12" t="s">
        <v>2873</v>
      </c>
      <c r="O738" s="11" t="s">
        <v>26</v>
      </c>
      <c r="P738" s="11" t="s">
        <v>52</v>
      </c>
      <c r="Q738" s="12"/>
    </row>
    <row r="739" customFormat="false" ht="22.35" hidden="false" customHeight="false" outlineLevel="0" collapsed="false">
      <c r="A739" s="11" t="s">
        <v>3244</v>
      </c>
      <c r="B739" s="11" t="s">
        <v>16</v>
      </c>
      <c r="C739" s="11" t="s">
        <v>3180</v>
      </c>
      <c r="D739" s="12" t="s">
        <v>3245</v>
      </c>
      <c r="E739" s="12" t="s">
        <v>3246</v>
      </c>
      <c r="F739" s="12" t="s">
        <v>3247</v>
      </c>
      <c r="G739" s="11" t="s">
        <v>1775</v>
      </c>
      <c r="H739" s="11" t="s">
        <v>6</v>
      </c>
      <c r="I739" s="13" t="n">
        <v>0.2</v>
      </c>
      <c r="J739" s="11" t="s">
        <v>49</v>
      </c>
      <c r="K739" s="12"/>
      <c r="L739" s="12" t="s">
        <v>3248</v>
      </c>
      <c r="M739" s="11" t="s">
        <v>1809</v>
      </c>
      <c r="N739" s="12" t="s">
        <v>3204</v>
      </c>
      <c r="O739" s="11" t="s">
        <v>26</v>
      </c>
      <c r="P739" s="11" t="s">
        <v>52</v>
      </c>
      <c r="Q739" s="12"/>
    </row>
    <row r="740" customFormat="false" ht="53.7" hidden="false" customHeight="false" outlineLevel="0" collapsed="false">
      <c r="A740" s="11" t="s">
        <v>3249</v>
      </c>
      <c r="B740" s="11" t="s">
        <v>16</v>
      </c>
      <c r="C740" s="11" t="s">
        <v>3180</v>
      </c>
      <c r="D740" s="12" t="s">
        <v>3250</v>
      </c>
      <c r="E740" s="12" t="s">
        <v>3251</v>
      </c>
      <c r="F740" s="12" t="s">
        <v>3252</v>
      </c>
      <c r="G740" s="11" t="s">
        <v>1775</v>
      </c>
      <c r="H740" s="11" t="s">
        <v>5</v>
      </c>
      <c r="I740" s="13" t="n">
        <v>0.285714285714286</v>
      </c>
      <c r="J740" s="11" t="s">
        <v>49</v>
      </c>
      <c r="K740" s="12" t="s">
        <v>3253</v>
      </c>
      <c r="L740" s="12" t="s">
        <v>3254</v>
      </c>
      <c r="M740" s="11" t="s">
        <v>1809</v>
      </c>
      <c r="N740" s="12" t="s">
        <v>3186</v>
      </c>
      <c r="O740" s="11" t="s">
        <v>26</v>
      </c>
      <c r="P740" s="11" t="s">
        <v>52</v>
      </c>
      <c r="Q740" s="12"/>
    </row>
    <row r="741" customFormat="false" ht="53.7" hidden="false" customHeight="false" outlineLevel="0" collapsed="false">
      <c r="A741" s="11" t="s">
        <v>3255</v>
      </c>
      <c r="B741" s="11" t="s">
        <v>16</v>
      </c>
      <c r="C741" s="11" t="s">
        <v>3180</v>
      </c>
      <c r="D741" s="12" t="s">
        <v>3256</v>
      </c>
      <c r="E741" s="12" t="s">
        <v>3257</v>
      </c>
      <c r="F741" s="12" t="s">
        <v>3258</v>
      </c>
      <c r="G741" s="11" t="s">
        <v>1775</v>
      </c>
      <c r="H741" s="11" t="s">
        <v>5</v>
      </c>
      <c r="I741" s="13" t="n">
        <v>0.4</v>
      </c>
      <c r="J741" s="11" t="s">
        <v>49</v>
      </c>
      <c r="K741" s="12" t="s">
        <v>3191</v>
      </c>
      <c r="L741" s="12" t="s">
        <v>3259</v>
      </c>
      <c r="M741" s="11" t="s">
        <v>1809</v>
      </c>
      <c r="N741" s="12" t="s">
        <v>3186</v>
      </c>
      <c r="O741" s="11" t="s">
        <v>26</v>
      </c>
      <c r="P741" s="11" t="s">
        <v>52</v>
      </c>
      <c r="Q741" s="12"/>
    </row>
    <row r="742" customFormat="false" ht="53.7" hidden="false" customHeight="false" outlineLevel="0" collapsed="false">
      <c r="A742" s="11" t="s">
        <v>3260</v>
      </c>
      <c r="B742" s="11" t="s">
        <v>16</v>
      </c>
      <c r="C742" s="11" t="s">
        <v>3180</v>
      </c>
      <c r="D742" s="12" t="s">
        <v>3261</v>
      </c>
      <c r="E742" s="12" t="s">
        <v>3262</v>
      </c>
      <c r="F742" s="12" t="s">
        <v>3263</v>
      </c>
      <c r="G742" s="11" t="s">
        <v>1775</v>
      </c>
      <c r="H742" s="11" t="s">
        <v>5</v>
      </c>
      <c r="I742" s="13" t="n">
        <v>0.285714285714286</v>
      </c>
      <c r="J742" s="11" t="s">
        <v>49</v>
      </c>
      <c r="K742" s="12" t="s">
        <v>3253</v>
      </c>
      <c r="L742" s="12" t="s">
        <v>3264</v>
      </c>
      <c r="M742" s="11" t="s">
        <v>1809</v>
      </c>
      <c r="N742" s="12" t="s">
        <v>3186</v>
      </c>
      <c r="O742" s="11" t="s">
        <v>26</v>
      </c>
      <c r="P742" s="11" t="s">
        <v>52</v>
      </c>
      <c r="Q742" s="12"/>
    </row>
    <row r="743" customFormat="false" ht="43.25" hidden="false" customHeight="false" outlineLevel="0" collapsed="false">
      <c r="A743" s="11" t="s">
        <v>3265</v>
      </c>
      <c r="B743" s="11" t="s">
        <v>16</v>
      </c>
      <c r="C743" s="11" t="s">
        <v>3180</v>
      </c>
      <c r="D743" s="12" t="s">
        <v>3266</v>
      </c>
      <c r="E743" s="12" t="s">
        <v>3267</v>
      </c>
      <c r="F743" s="12" t="s">
        <v>3268</v>
      </c>
      <c r="G743" s="11" t="s">
        <v>1775</v>
      </c>
      <c r="H743" s="11" t="s">
        <v>5</v>
      </c>
      <c r="I743" s="13" t="n">
        <v>0.333333333333333</v>
      </c>
      <c r="J743" s="11" t="s">
        <v>49</v>
      </c>
      <c r="K743" s="12" t="s">
        <v>3253</v>
      </c>
      <c r="L743" s="12" t="s">
        <v>3269</v>
      </c>
      <c r="M743" s="11" t="s">
        <v>1809</v>
      </c>
      <c r="N743" s="12" t="s">
        <v>3186</v>
      </c>
      <c r="O743" s="11" t="s">
        <v>26</v>
      </c>
      <c r="P743" s="11" t="s">
        <v>52</v>
      </c>
      <c r="Q743" s="12"/>
    </row>
    <row r="744" customFormat="false" ht="43.25" hidden="false" customHeight="false" outlineLevel="0" collapsed="false">
      <c r="A744" s="11" t="s">
        <v>3270</v>
      </c>
      <c r="B744" s="11" t="s">
        <v>16</v>
      </c>
      <c r="C744" s="11" t="s">
        <v>3180</v>
      </c>
      <c r="D744" s="12" t="s">
        <v>3271</v>
      </c>
      <c r="E744" s="12" t="s">
        <v>3272</v>
      </c>
      <c r="F744" s="12" t="s">
        <v>3273</v>
      </c>
      <c r="G744" s="11" t="s">
        <v>1775</v>
      </c>
      <c r="H744" s="11" t="s">
        <v>5</v>
      </c>
      <c r="I744" s="13" t="n">
        <v>0.333333333333333</v>
      </c>
      <c r="J744" s="11" t="s">
        <v>49</v>
      </c>
      <c r="K744" s="12" t="s">
        <v>3253</v>
      </c>
      <c r="L744" s="12" t="s">
        <v>3269</v>
      </c>
      <c r="M744" s="11" t="s">
        <v>1809</v>
      </c>
      <c r="N744" s="12" t="s">
        <v>2893</v>
      </c>
      <c r="O744" s="11" t="s">
        <v>26</v>
      </c>
      <c r="P744" s="11" t="s">
        <v>52</v>
      </c>
      <c r="Q744" s="12"/>
    </row>
    <row r="745" customFormat="false" ht="43.25" hidden="false" customHeight="false" outlineLevel="0" collapsed="false">
      <c r="A745" s="11" t="s">
        <v>3274</v>
      </c>
      <c r="B745" s="11" t="s">
        <v>16</v>
      </c>
      <c r="C745" s="11" t="s">
        <v>3180</v>
      </c>
      <c r="D745" s="12" t="s">
        <v>3275</v>
      </c>
      <c r="E745" s="12" t="s">
        <v>3276</v>
      </c>
      <c r="F745" s="12" t="s">
        <v>3277</v>
      </c>
      <c r="G745" s="11" t="s">
        <v>1775</v>
      </c>
      <c r="H745" s="11" t="s">
        <v>5</v>
      </c>
      <c r="I745" s="13" t="n">
        <v>0.416666666666667</v>
      </c>
      <c r="J745" s="11" t="s">
        <v>49</v>
      </c>
      <c r="K745" s="12" t="s">
        <v>3278</v>
      </c>
      <c r="L745" s="12" t="s">
        <v>3279</v>
      </c>
      <c r="M745" s="11" t="s">
        <v>1809</v>
      </c>
      <c r="N745" s="12" t="s">
        <v>3186</v>
      </c>
      <c r="O745" s="11" t="s">
        <v>26</v>
      </c>
      <c r="P745" s="11" t="s">
        <v>52</v>
      </c>
      <c r="Q745" s="12"/>
    </row>
    <row r="746" customFormat="false" ht="64.15" hidden="false" customHeight="false" outlineLevel="0" collapsed="false">
      <c r="A746" s="11" t="s">
        <v>3280</v>
      </c>
      <c r="B746" s="11" t="s">
        <v>16</v>
      </c>
      <c r="C746" s="11" t="s">
        <v>3180</v>
      </c>
      <c r="D746" s="12" t="s">
        <v>3281</v>
      </c>
      <c r="E746" s="12" t="s">
        <v>3282</v>
      </c>
      <c r="F746" s="12" t="s">
        <v>3283</v>
      </c>
      <c r="G746" s="11" t="s">
        <v>1775</v>
      </c>
      <c r="H746" s="11" t="s">
        <v>5</v>
      </c>
      <c r="I746" s="13" t="n">
        <v>0.333333333333333</v>
      </c>
      <c r="J746" s="11" t="s">
        <v>49</v>
      </c>
      <c r="K746" s="12" t="s">
        <v>3284</v>
      </c>
      <c r="L746" s="12" t="s">
        <v>3285</v>
      </c>
      <c r="M746" s="11" t="s">
        <v>1809</v>
      </c>
      <c r="N746" s="12" t="s">
        <v>3186</v>
      </c>
      <c r="O746" s="11" t="s">
        <v>26</v>
      </c>
      <c r="P746" s="11" t="s">
        <v>52</v>
      </c>
      <c r="Q746" s="12"/>
    </row>
    <row r="747" customFormat="false" ht="53.7" hidden="false" customHeight="false" outlineLevel="0" collapsed="false">
      <c r="A747" s="11" t="s">
        <v>3286</v>
      </c>
      <c r="B747" s="11" t="s">
        <v>16</v>
      </c>
      <c r="C747" s="11" t="s">
        <v>3180</v>
      </c>
      <c r="D747" s="12" t="s">
        <v>3287</v>
      </c>
      <c r="E747" s="12" t="s">
        <v>3288</v>
      </c>
      <c r="F747" s="12" t="s">
        <v>3289</v>
      </c>
      <c r="G747" s="11" t="s">
        <v>1775</v>
      </c>
      <c r="H747" s="11" t="s">
        <v>5</v>
      </c>
      <c r="I747" s="13" t="n">
        <v>0.357142857142857</v>
      </c>
      <c r="J747" s="11" t="s">
        <v>49</v>
      </c>
      <c r="K747" s="12" t="s">
        <v>3278</v>
      </c>
      <c r="L747" s="12" t="s">
        <v>3290</v>
      </c>
      <c r="M747" s="11" t="s">
        <v>1809</v>
      </c>
      <c r="N747" s="12" t="s">
        <v>3186</v>
      </c>
      <c r="O747" s="11" t="s">
        <v>26</v>
      </c>
      <c r="P747" s="11" t="s">
        <v>52</v>
      </c>
      <c r="Q747" s="12"/>
    </row>
    <row r="748" customFormat="false" ht="43.25" hidden="false" customHeight="false" outlineLevel="0" collapsed="false">
      <c r="A748" s="11" t="s">
        <v>3291</v>
      </c>
      <c r="B748" s="11" t="s">
        <v>16</v>
      </c>
      <c r="C748" s="11" t="s">
        <v>3180</v>
      </c>
      <c r="D748" s="12" t="s">
        <v>3292</v>
      </c>
      <c r="E748" s="12" t="s">
        <v>3293</v>
      </c>
      <c r="F748" s="12" t="s">
        <v>3294</v>
      </c>
      <c r="G748" s="11" t="s">
        <v>1775</v>
      </c>
      <c r="H748" s="11" t="s">
        <v>5</v>
      </c>
      <c r="I748" s="13" t="n">
        <v>0.333333333333333</v>
      </c>
      <c r="J748" s="11" t="s">
        <v>49</v>
      </c>
      <c r="K748" s="12" t="s">
        <v>3253</v>
      </c>
      <c r="L748" s="12" t="s">
        <v>3269</v>
      </c>
      <c r="M748" s="11" t="s">
        <v>1809</v>
      </c>
      <c r="N748" s="12" t="s">
        <v>3186</v>
      </c>
      <c r="O748" s="11" t="s">
        <v>26</v>
      </c>
      <c r="P748" s="11" t="s">
        <v>52</v>
      </c>
      <c r="Q748" s="12"/>
    </row>
    <row r="749" customFormat="false" ht="43.25" hidden="false" customHeight="false" outlineLevel="0" collapsed="false">
      <c r="A749" s="11" t="s">
        <v>3295</v>
      </c>
      <c r="B749" s="11" t="s">
        <v>16</v>
      </c>
      <c r="C749" s="11" t="s">
        <v>3180</v>
      </c>
      <c r="D749" s="12" t="s">
        <v>3296</v>
      </c>
      <c r="E749" s="12" t="s">
        <v>3297</v>
      </c>
      <c r="F749" s="12" t="s">
        <v>3298</v>
      </c>
      <c r="G749" s="11" t="s">
        <v>1775</v>
      </c>
      <c r="H749" s="11" t="s">
        <v>5</v>
      </c>
      <c r="I749" s="13" t="n">
        <v>0.384615384615385</v>
      </c>
      <c r="J749" s="11" t="s">
        <v>49</v>
      </c>
      <c r="K749" s="12" t="s">
        <v>3278</v>
      </c>
      <c r="L749" s="12" t="s">
        <v>3269</v>
      </c>
      <c r="M749" s="11" t="s">
        <v>1809</v>
      </c>
      <c r="N749" s="12" t="s">
        <v>3186</v>
      </c>
      <c r="O749" s="11" t="s">
        <v>26</v>
      </c>
      <c r="P749" s="11" t="s">
        <v>52</v>
      </c>
      <c r="Q749" s="12"/>
    </row>
    <row r="750" customFormat="false" ht="43.25" hidden="false" customHeight="false" outlineLevel="0" collapsed="false">
      <c r="A750" s="11" t="s">
        <v>3299</v>
      </c>
      <c r="B750" s="11" t="s">
        <v>16</v>
      </c>
      <c r="C750" s="11" t="s">
        <v>3180</v>
      </c>
      <c r="D750" s="12" t="s">
        <v>3300</v>
      </c>
      <c r="E750" s="12" t="s">
        <v>3301</v>
      </c>
      <c r="F750" s="12" t="s">
        <v>3302</v>
      </c>
      <c r="G750" s="11" t="s">
        <v>1775</v>
      </c>
      <c r="H750" s="11" t="s">
        <v>5</v>
      </c>
      <c r="I750" s="13" t="n">
        <v>0.428571428571429</v>
      </c>
      <c r="J750" s="11" t="s">
        <v>49</v>
      </c>
      <c r="K750" s="12" t="s">
        <v>3284</v>
      </c>
      <c r="L750" s="12" t="s">
        <v>3303</v>
      </c>
      <c r="M750" s="11" t="s">
        <v>1809</v>
      </c>
      <c r="N750" s="12" t="s">
        <v>3186</v>
      </c>
      <c r="O750" s="11" t="s">
        <v>26</v>
      </c>
      <c r="P750" s="11" t="s">
        <v>52</v>
      </c>
      <c r="Q750" s="12"/>
    </row>
    <row r="751" customFormat="false" ht="43.25" hidden="false" customHeight="false" outlineLevel="0" collapsed="false">
      <c r="A751" s="11" t="s">
        <v>3304</v>
      </c>
      <c r="B751" s="11" t="s">
        <v>16</v>
      </c>
      <c r="C751" s="11" t="s">
        <v>3180</v>
      </c>
      <c r="D751" s="12" t="s">
        <v>3305</v>
      </c>
      <c r="E751" s="12" t="s">
        <v>3306</v>
      </c>
      <c r="F751" s="12" t="s">
        <v>3307</v>
      </c>
      <c r="G751" s="11" t="s">
        <v>1775</v>
      </c>
      <c r="H751" s="11" t="s">
        <v>5</v>
      </c>
      <c r="I751" s="13" t="n">
        <v>0.428571428571429</v>
      </c>
      <c r="J751" s="11" t="s">
        <v>49</v>
      </c>
      <c r="K751" s="12" t="s">
        <v>3308</v>
      </c>
      <c r="L751" s="12" t="s">
        <v>3269</v>
      </c>
      <c r="M751" s="11" t="s">
        <v>1809</v>
      </c>
      <c r="N751" s="12" t="s">
        <v>3186</v>
      </c>
      <c r="O751" s="11" t="s">
        <v>26</v>
      </c>
      <c r="P751" s="11" t="s">
        <v>52</v>
      </c>
      <c r="Q751" s="12"/>
    </row>
    <row r="752" customFormat="false" ht="43.25" hidden="false" customHeight="false" outlineLevel="0" collapsed="false">
      <c r="A752" s="11" t="s">
        <v>3309</v>
      </c>
      <c r="B752" s="11" t="s">
        <v>16</v>
      </c>
      <c r="C752" s="11" t="s">
        <v>3180</v>
      </c>
      <c r="D752" s="12" t="s">
        <v>3310</v>
      </c>
      <c r="E752" s="12" t="s">
        <v>3311</v>
      </c>
      <c r="F752" s="12" t="s">
        <v>3312</v>
      </c>
      <c r="G752" s="11" t="s">
        <v>1775</v>
      </c>
      <c r="H752" s="11" t="s">
        <v>5</v>
      </c>
      <c r="I752" s="13" t="n">
        <v>0.384615384615385</v>
      </c>
      <c r="J752" s="11" t="s">
        <v>49</v>
      </c>
      <c r="K752" s="12" t="s">
        <v>3278</v>
      </c>
      <c r="L752" s="12" t="s">
        <v>3269</v>
      </c>
      <c r="M752" s="11" t="s">
        <v>1809</v>
      </c>
      <c r="N752" s="12" t="s">
        <v>3313</v>
      </c>
      <c r="O752" s="11" t="s">
        <v>26</v>
      </c>
      <c r="P752" s="11" t="s">
        <v>52</v>
      </c>
      <c r="Q752" s="12"/>
    </row>
    <row r="753" customFormat="false" ht="32.8" hidden="false" customHeight="false" outlineLevel="0" collapsed="false">
      <c r="A753" s="11" t="s">
        <v>3314</v>
      </c>
      <c r="B753" s="11" t="s">
        <v>16</v>
      </c>
      <c r="C753" s="11" t="s">
        <v>3180</v>
      </c>
      <c r="D753" s="12" t="s">
        <v>3315</v>
      </c>
      <c r="E753" s="12" t="s">
        <v>3316</v>
      </c>
      <c r="F753" s="12" t="s">
        <v>3317</v>
      </c>
      <c r="G753" s="11" t="s">
        <v>1775</v>
      </c>
      <c r="H753" s="11" t="s">
        <v>5</v>
      </c>
      <c r="I753" s="13" t="n">
        <v>0.545454545454545</v>
      </c>
      <c r="J753" s="11" t="s">
        <v>49</v>
      </c>
      <c r="K753" s="12" t="s">
        <v>3318</v>
      </c>
      <c r="L753" s="12" t="s">
        <v>3319</v>
      </c>
      <c r="M753" s="11" t="s">
        <v>1809</v>
      </c>
      <c r="N753" s="12" t="s">
        <v>3186</v>
      </c>
      <c r="O753" s="11" t="s">
        <v>26</v>
      </c>
      <c r="P753" s="11" t="s">
        <v>52</v>
      </c>
      <c r="Q753" s="12"/>
    </row>
    <row r="754" customFormat="false" ht="53.7" hidden="false" customHeight="false" outlineLevel="0" collapsed="false">
      <c r="A754" s="11" t="s">
        <v>3320</v>
      </c>
      <c r="B754" s="11" t="s">
        <v>16</v>
      </c>
      <c r="C754" s="11" t="s">
        <v>3180</v>
      </c>
      <c r="D754" s="12" t="s">
        <v>3321</v>
      </c>
      <c r="E754" s="12" t="s">
        <v>3322</v>
      </c>
      <c r="F754" s="12" t="s">
        <v>3323</v>
      </c>
      <c r="G754" s="11" t="s">
        <v>1775</v>
      </c>
      <c r="H754" s="11" t="s">
        <v>5</v>
      </c>
      <c r="I754" s="13" t="n">
        <v>0.384615384615385</v>
      </c>
      <c r="J754" s="11" t="s">
        <v>49</v>
      </c>
      <c r="K754" s="12" t="s">
        <v>3278</v>
      </c>
      <c r="L754" s="12" t="s">
        <v>3324</v>
      </c>
      <c r="M754" s="11" t="s">
        <v>1809</v>
      </c>
      <c r="N754" s="12" t="s">
        <v>3186</v>
      </c>
      <c r="O754" s="11" t="s">
        <v>26</v>
      </c>
      <c r="P754" s="11" t="s">
        <v>52</v>
      </c>
      <c r="Q754" s="12"/>
    </row>
    <row r="755" customFormat="false" ht="32.8" hidden="false" customHeight="false" outlineLevel="0" collapsed="false">
      <c r="A755" s="11" t="s">
        <v>3325</v>
      </c>
      <c r="B755" s="11" t="s">
        <v>16</v>
      </c>
      <c r="C755" s="11" t="s">
        <v>3180</v>
      </c>
      <c r="D755" s="12" t="s">
        <v>3326</v>
      </c>
      <c r="E755" s="12" t="s">
        <v>3327</v>
      </c>
      <c r="F755" s="12" t="s">
        <v>3328</v>
      </c>
      <c r="G755" s="11" t="s">
        <v>1775</v>
      </c>
      <c r="H755" s="11" t="s">
        <v>5</v>
      </c>
      <c r="I755" s="13" t="n">
        <v>0.454545454545455</v>
      </c>
      <c r="J755" s="11" t="s">
        <v>49</v>
      </c>
      <c r="K755" s="12" t="s">
        <v>3329</v>
      </c>
      <c r="L755" s="12" t="s">
        <v>3330</v>
      </c>
      <c r="M755" s="11" t="s">
        <v>1809</v>
      </c>
      <c r="N755" s="12" t="s">
        <v>3186</v>
      </c>
      <c r="O755" s="11" t="s">
        <v>26</v>
      </c>
      <c r="P755" s="11" t="s">
        <v>52</v>
      </c>
      <c r="Q755" s="12"/>
    </row>
    <row r="756" customFormat="false" ht="22.35" hidden="false" customHeight="false" outlineLevel="0" collapsed="false">
      <c r="A756" s="11" t="s">
        <v>3331</v>
      </c>
      <c r="B756" s="11" t="s">
        <v>16</v>
      </c>
      <c r="C756" s="11" t="s">
        <v>3180</v>
      </c>
      <c r="D756" s="12" t="s">
        <v>3332</v>
      </c>
      <c r="E756" s="12" t="s">
        <v>3333</v>
      </c>
      <c r="F756" s="12" t="s">
        <v>3334</v>
      </c>
      <c r="G756" s="11" t="s">
        <v>1775</v>
      </c>
      <c r="H756" s="11" t="s">
        <v>5</v>
      </c>
      <c r="I756" s="13" t="n">
        <v>0.5</v>
      </c>
      <c r="J756" s="11" t="s">
        <v>49</v>
      </c>
      <c r="K756" s="12" t="s">
        <v>3253</v>
      </c>
      <c r="L756" s="12" t="s">
        <v>3335</v>
      </c>
      <c r="M756" s="11" t="s">
        <v>1809</v>
      </c>
      <c r="N756" s="12" t="s">
        <v>2873</v>
      </c>
      <c r="O756" s="11" t="s">
        <v>26</v>
      </c>
      <c r="P756" s="11" t="s">
        <v>52</v>
      </c>
      <c r="Q756" s="12"/>
    </row>
    <row r="757" customFormat="false" ht="32.8" hidden="false" customHeight="false" outlineLevel="0" collapsed="false">
      <c r="A757" s="11" t="s">
        <v>3336</v>
      </c>
      <c r="B757" s="11" t="s">
        <v>16</v>
      </c>
      <c r="C757" s="11" t="s">
        <v>3180</v>
      </c>
      <c r="D757" s="12" t="s">
        <v>3337</v>
      </c>
      <c r="E757" s="12" t="s">
        <v>3338</v>
      </c>
      <c r="F757" s="12" t="s">
        <v>3339</v>
      </c>
      <c r="G757" s="11" t="s">
        <v>1775</v>
      </c>
      <c r="H757" s="11" t="s">
        <v>5</v>
      </c>
      <c r="I757" s="13" t="n">
        <v>0.444444444444444</v>
      </c>
      <c r="J757" s="11" t="s">
        <v>49</v>
      </c>
      <c r="K757" s="12" t="s">
        <v>3253</v>
      </c>
      <c r="L757" s="12" t="s">
        <v>3319</v>
      </c>
      <c r="M757" s="11" t="s">
        <v>1809</v>
      </c>
      <c r="N757" s="12" t="s">
        <v>3186</v>
      </c>
      <c r="O757" s="11" t="s">
        <v>26</v>
      </c>
      <c r="P757" s="11" t="s">
        <v>52</v>
      </c>
      <c r="Q757" s="12"/>
    </row>
    <row r="758" customFormat="false" ht="22.35" hidden="false" customHeight="false" outlineLevel="0" collapsed="false">
      <c r="A758" s="11" t="s">
        <v>3340</v>
      </c>
      <c r="B758" s="11" t="s">
        <v>16</v>
      </c>
      <c r="C758" s="11" t="s">
        <v>3180</v>
      </c>
      <c r="D758" s="12" t="s">
        <v>3341</v>
      </c>
      <c r="E758" s="12" t="s">
        <v>3342</v>
      </c>
      <c r="F758" s="12" t="s">
        <v>3343</v>
      </c>
      <c r="G758" s="11" t="s">
        <v>1775</v>
      </c>
      <c r="H758" s="11" t="s">
        <v>5</v>
      </c>
      <c r="I758" s="13" t="n">
        <v>0.5</v>
      </c>
      <c r="J758" s="11" t="s">
        <v>49</v>
      </c>
      <c r="K758" s="12" t="s">
        <v>3253</v>
      </c>
      <c r="L758" s="12" t="s">
        <v>3344</v>
      </c>
      <c r="M758" s="11" t="s">
        <v>1809</v>
      </c>
      <c r="N758" s="12" t="s">
        <v>3186</v>
      </c>
      <c r="O758" s="11" t="s">
        <v>26</v>
      </c>
      <c r="P758" s="11" t="s">
        <v>52</v>
      </c>
      <c r="Q758" s="12"/>
    </row>
    <row r="759" customFormat="false" ht="32.8" hidden="false" customHeight="false" outlineLevel="0" collapsed="false">
      <c r="A759" s="11" t="s">
        <v>3345</v>
      </c>
      <c r="B759" s="11" t="s">
        <v>16</v>
      </c>
      <c r="C759" s="11" t="s">
        <v>3180</v>
      </c>
      <c r="D759" s="12" t="s">
        <v>3346</v>
      </c>
      <c r="E759" s="12" t="s">
        <v>3347</v>
      </c>
      <c r="F759" s="12" t="s">
        <v>3348</v>
      </c>
      <c r="G759" s="11" t="s">
        <v>1775</v>
      </c>
      <c r="H759" s="11" t="s">
        <v>5</v>
      </c>
      <c r="I759" s="13" t="n">
        <v>0.5</v>
      </c>
      <c r="J759" s="11" t="s">
        <v>49</v>
      </c>
      <c r="K759" s="12" t="s">
        <v>3349</v>
      </c>
      <c r="L759" s="12" t="s">
        <v>3319</v>
      </c>
      <c r="M759" s="11" t="s">
        <v>1809</v>
      </c>
      <c r="N759" s="12" t="s">
        <v>2873</v>
      </c>
      <c r="O759" s="11" t="s">
        <v>26</v>
      </c>
      <c r="P759" s="11" t="s">
        <v>52</v>
      </c>
      <c r="Q759" s="12"/>
    </row>
    <row r="760" customFormat="false" ht="43.25" hidden="false" customHeight="false" outlineLevel="0" collapsed="false">
      <c r="A760" s="11" t="s">
        <v>3350</v>
      </c>
      <c r="B760" s="11" t="s">
        <v>16</v>
      </c>
      <c r="C760" s="11" t="s">
        <v>3180</v>
      </c>
      <c r="D760" s="12" t="s">
        <v>3351</v>
      </c>
      <c r="E760" s="12" t="s">
        <v>3352</v>
      </c>
      <c r="F760" s="12" t="s">
        <v>3353</v>
      </c>
      <c r="G760" s="11" t="s">
        <v>1775</v>
      </c>
      <c r="H760" s="11" t="s">
        <v>5</v>
      </c>
      <c r="I760" s="13" t="n">
        <v>0.4375</v>
      </c>
      <c r="J760" s="11" t="s">
        <v>49</v>
      </c>
      <c r="K760" s="12" t="s">
        <v>3354</v>
      </c>
      <c r="L760" s="12" t="s">
        <v>3355</v>
      </c>
      <c r="M760" s="11" t="s">
        <v>1809</v>
      </c>
      <c r="N760" s="12" t="s">
        <v>3186</v>
      </c>
      <c r="O760" s="11" t="s">
        <v>26</v>
      </c>
      <c r="P760" s="11" t="s">
        <v>52</v>
      </c>
      <c r="Q760" s="12"/>
    </row>
    <row r="761" customFormat="false" ht="32.8" hidden="false" customHeight="false" outlineLevel="0" collapsed="false">
      <c r="A761" s="11" t="s">
        <v>3356</v>
      </c>
      <c r="B761" s="11" t="s">
        <v>16</v>
      </c>
      <c r="C761" s="11" t="s">
        <v>3357</v>
      </c>
      <c r="D761" s="12" t="s">
        <v>3358</v>
      </c>
      <c r="E761" s="12" t="s">
        <v>3359</v>
      </c>
      <c r="F761" s="12" t="s">
        <v>3360</v>
      </c>
      <c r="G761" s="11" t="s">
        <v>1775</v>
      </c>
      <c r="H761" s="11" t="s">
        <v>4</v>
      </c>
      <c r="I761" s="13" t="n">
        <v>0.636363636363636</v>
      </c>
      <c r="J761" s="11" t="s">
        <v>49</v>
      </c>
      <c r="K761" s="12" t="s">
        <v>3361</v>
      </c>
      <c r="L761" s="12" t="s">
        <v>3362</v>
      </c>
      <c r="M761" s="11" t="s">
        <v>1809</v>
      </c>
      <c r="N761" s="12" t="s">
        <v>51</v>
      </c>
      <c r="O761" s="11" t="s">
        <v>27</v>
      </c>
      <c r="P761" s="11" t="s">
        <v>52</v>
      </c>
      <c r="Q761" s="12"/>
    </row>
    <row r="762" customFormat="false" ht="15" hidden="false" customHeight="false" outlineLevel="0" collapsed="false">
      <c r="A762" s="11" t="s">
        <v>3363</v>
      </c>
      <c r="B762" s="11" t="s">
        <v>17</v>
      </c>
      <c r="C762" s="11" t="s">
        <v>3364</v>
      </c>
      <c r="D762" s="12" t="s">
        <v>3365</v>
      </c>
      <c r="E762" s="12" t="s">
        <v>3366</v>
      </c>
      <c r="F762" s="12" t="s">
        <v>3367</v>
      </c>
      <c r="G762" s="11" t="s">
        <v>1775</v>
      </c>
      <c r="H762" s="11" t="s">
        <v>4</v>
      </c>
      <c r="I762" s="13" t="n">
        <v>0.75</v>
      </c>
      <c r="J762" s="11" t="s">
        <v>49</v>
      </c>
      <c r="K762" s="12" t="s">
        <v>3368</v>
      </c>
      <c r="L762" s="12" t="s">
        <v>3369</v>
      </c>
      <c r="M762" s="11" t="s">
        <v>50</v>
      </c>
      <c r="N762" s="12" t="s">
        <v>51</v>
      </c>
      <c r="O762" s="11" t="s">
        <v>27</v>
      </c>
      <c r="P762" s="11" t="s">
        <v>52</v>
      </c>
      <c r="Q762" s="12"/>
    </row>
    <row r="763" customFormat="false" ht="53.7" hidden="false" customHeight="false" outlineLevel="0" collapsed="false">
      <c r="A763" s="11" t="s">
        <v>3370</v>
      </c>
      <c r="B763" s="11" t="s">
        <v>17</v>
      </c>
      <c r="C763" s="11" t="s">
        <v>3364</v>
      </c>
      <c r="D763" s="12" t="s">
        <v>3371</v>
      </c>
      <c r="E763" s="12" t="s">
        <v>3372</v>
      </c>
      <c r="F763" s="12" t="s">
        <v>3373</v>
      </c>
      <c r="G763" s="11" t="s">
        <v>3374</v>
      </c>
      <c r="H763" s="11" t="s">
        <v>5</v>
      </c>
      <c r="I763" s="13" t="n">
        <v>0.5</v>
      </c>
      <c r="J763" s="11" t="s">
        <v>49</v>
      </c>
      <c r="K763" s="12" t="s">
        <v>3375</v>
      </c>
      <c r="L763" s="12" t="s">
        <v>3376</v>
      </c>
      <c r="M763" s="11" t="s">
        <v>50</v>
      </c>
      <c r="N763" s="12" t="s">
        <v>3377</v>
      </c>
      <c r="O763" s="11" t="s">
        <v>25</v>
      </c>
      <c r="P763" s="11" t="s">
        <v>52</v>
      </c>
      <c r="Q763" s="12"/>
    </row>
    <row r="764" customFormat="false" ht="43.25" hidden="false" customHeight="false" outlineLevel="0" collapsed="false">
      <c r="A764" s="11" t="s">
        <v>3378</v>
      </c>
      <c r="B764" s="11" t="s">
        <v>17</v>
      </c>
      <c r="C764" s="11" t="s">
        <v>3364</v>
      </c>
      <c r="D764" s="12" t="s">
        <v>3379</v>
      </c>
      <c r="E764" s="12" t="s">
        <v>3380</v>
      </c>
      <c r="F764" s="12" t="s">
        <v>3381</v>
      </c>
      <c r="G764" s="11" t="s">
        <v>1775</v>
      </c>
      <c r="H764" s="11" t="s">
        <v>6</v>
      </c>
      <c r="I764" s="13" t="n">
        <v>0</v>
      </c>
      <c r="J764" s="11" t="s">
        <v>49</v>
      </c>
      <c r="K764" s="12"/>
      <c r="L764" s="12" t="s">
        <v>3382</v>
      </c>
      <c r="M764" s="11" t="s">
        <v>50</v>
      </c>
      <c r="N764" s="12" t="s">
        <v>3383</v>
      </c>
      <c r="O764" s="11" t="s">
        <v>25</v>
      </c>
      <c r="P764" s="11" t="s">
        <v>52</v>
      </c>
      <c r="Q764" s="12"/>
    </row>
    <row r="765" customFormat="false" ht="32.8" hidden="false" customHeight="false" outlineLevel="0" collapsed="false">
      <c r="A765" s="11" t="s">
        <v>3384</v>
      </c>
      <c r="B765" s="11" t="s">
        <v>17</v>
      </c>
      <c r="C765" s="11" t="s">
        <v>3364</v>
      </c>
      <c r="D765" s="12" t="s">
        <v>3385</v>
      </c>
      <c r="E765" s="12" t="s">
        <v>3386</v>
      </c>
      <c r="F765" s="12" t="s">
        <v>3387</v>
      </c>
      <c r="G765" s="11" t="s">
        <v>1775</v>
      </c>
      <c r="H765" s="11" t="s">
        <v>6</v>
      </c>
      <c r="I765" s="13" t="n">
        <v>0.2</v>
      </c>
      <c r="J765" s="11" t="s">
        <v>49</v>
      </c>
      <c r="K765" s="12"/>
      <c r="L765" s="12" t="s">
        <v>3388</v>
      </c>
      <c r="M765" s="11" t="s">
        <v>50</v>
      </c>
      <c r="N765" s="12" t="s">
        <v>3383</v>
      </c>
      <c r="O765" s="11" t="s">
        <v>25</v>
      </c>
      <c r="P765" s="11" t="s">
        <v>52</v>
      </c>
      <c r="Q765" s="12"/>
    </row>
    <row r="766" customFormat="false" ht="22.35" hidden="false" customHeight="false" outlineLevel="0" collapsed="false">
      <c r="A766" s="11" t="s">
        <v>3389</v>
      </c>
      <c r="B766" s="11" t="s">
        <v>17</v>
      </c>
      <c r="C766" s="11" t="s">
        <v>3364</v>
      </c>
      <c r="D766" s="12" t="s">
        <v>3390</v>
      </c>
      <c r="E766" s="12" t="s">
        <v>3391</v>
      </c>
      <c r="F766" s="12" t="s">
        <v>3390</v>
      </c>
      <c r="G766" s="11" t="s">
        <v>1775</v>
      </c>
      <c r="H766" s="11" t="s">
        <v>6</v>
      </c>
      <c r="I766" s="13" t="n">
        <v>0</v>
      </c>
      <c r="J766" s="11" t="s">
        <v>49</v>
      </c>
      <c r="K766" s="12"/>
      <c r="L766" s="12" t="s">
        <v>3392</v>
      </c>
      <c r="M766" s="11" t="s">
        <v>50</v>
      </c>
      <c r="N766" s="12" t="s">
        <v>3393</v>
      </c>
      <c r="O766" s="11" t="s">
        <v>25</v>
      </c>
      <c r="P766" s="11" t="s">
        <v>52</v>
      </c>
      <c r="Q766" s="12"/>
    </row>
    <row r="767" customFormat="false" ht="43.25" hidden="false" customHeight="false" outlineLevel="0" collapsed="false">
      <c r="A767" s="11" t="s">
        <v>3394</v>
      </c>
      <c r="B767" s="11" t="s">
        <v>17</v>
      </c>
      <c r="C767" s="11" t="s">
        <v>3364</v>
      </c>
      <c r="D767" s="12" t="s">
        <v>3395</v>
      </c>
      <c r="E767" s="12" t="s">
        <v>3396</v>
      </c>
      <c r="F767" s="12" t="s">
        <v>3397</v>
      </c>
      <c r="G767" s="11" t="s">
        <v>1775</v>
      </c>
      <c r="H767" s="11" t="s">
        <v>5</v>
      </c>
      <c r="I767" s="13" t="n">
        <v>0.325</v>
      </c>
      <c r="J767" s="11" t="s">
        <v>49</v>
      </c>
      <c r="K767" s="12" t="s">
        <v>3398</v>
      </c>
      <c r="L767" s="12" t="s">
        <v>3399</v>
      </c>
      <c r="M767" s="11" t="s">
        <v>50</v>
      </c>
      <c r="N767" s="12" t="s">
        <v>3377</v>
      </c>
      <c r="O767" s="11" t="s">
        <v>25</v>
      </c>
      <c r="P767" s="11" t="s">
        <v>52</v>
      </c>
      <c r="Q767" s="12"/>
    </row>
    <row r="768" customFormat="false" ht="43.25" hidden="false" customHeight="false" outlineLevel="0" collapsed="false">
      <c r="A768" s="11" t="s">
        <v>3400</v>
      </c>
      <c r="B768" s="11" t="s">
        <v>17</v>
      </c>
      <c r="C768" s="11" t="s">
        <v>3364</v>
      </c>
      <c r="D768" s="12" t="s">
        <v>3401</v>
      </c>
      <c r="E768" s="12" t="s">
        <v>3402</v>
      </c>
      <c r="F768" s="12" t="s">
        <v>3401</v>
      </c>
      <c r="G768" s="11" t="s">
        <v>1775</v>
      </c>
      <c r="H768" s="11" t="s">
        <v>5</v>
      </c>
      <c r="I768" s="13" t="n">
        <v>0.333333333333333</v>
      </c>
      <c r="J768" s="11" t="s">
        <v>49</v>
      </c>
      <c r="K768" s="12" t="s">
        <v>3403</v>
      </c>
      <c r="L768" s="12" t="s">
        <v>3404</v>
      </c>
      <c r="M768" s="11" t="s">
        <v>50</v>
      </c>
      <c r="N768" s="12" t="s">
        <v>3377</v>
      </c>
      <c r="O768" s="11" t="s">
        <v>25</v>
      </c>
      <c r="P768" s="11" t="s">
        <v>52</v>
      </c>
      <c r="Q768" s="12"/>
    </row>
    <row r="769" customFormat="false" ht="53.7" hidden="false" customHeight="false" outlineLevel="0" collapsed="false">
      <c r="A769" s="11" t="s">
        <v>3405</v>
      </c>
      <c r="B769" s="11" t="s">
        <v>17</v>
      </c>
      <c r="C769" s="11" t="s">
        <v>3364</v>
      </c>
      <c r="D769" s="12" t="s">
        <v>3406</v>
      </c>
      <c r="E769" s="12" t="s">
        <v>3407</v>
      </c>
      <c r="F769" s="12" t="s">
        <v>3408</v>
      </c>
      <c r="G769" s="11" t="s">
        <v>1775</v>
      </c>
      <c r="H769" s="11" t="s">
        <v>5</v>
      </c>
      <c r="I769" s="13" t="n">
        <v>0.32258064516129</v>
      </c>
      <c r="J769" s="11" t="s">
        <v>49</v>
      </c>
      <c r="K769" s="12" t="s">
        <v>3409</v>
      </c>
      <c r="L769" s="12" t="s">
        <v>3410</v>
      </c>
      <c r="M769" s="11" t="s">
        <v>50</v>
      </c>
      <c r="N769" s="12" t="s">
        <v>3377</v>
      </c>
      <c r="O769" s="11" t="s">
        <v>25</v>
      </c>
      <c r="P769" s="11" t="s">
        <v>52</v>
      </c>
      <c r="Q769" s="12"/>
    </row>
    <row r="770" customFormat="false" ht="15" hidden="false" customHeight="false" outlineLevel="0" collapsed="false">
      <c r="A770" s="11" t="s">
        <v>3411</v>
      </c>
      <c r="B770" s="11" t="s">
        <v>17</v>
      </c>
      <c r="C770" s="11" t="s">
        <v>3364</v>
      </c>
      <c r="D770" s="12" t="s">
        <v>2755</v>
      </c>
      <c r="E770" s="12" t="s">
        <v>3412</v>
      </c>
      <c r="F770" s="12" t="s">
        <v>2755</v>
      </c>
      <c r="G770" s="11" t="s">
        <v>1775</v>
      </c>
      <c r="H770" s="11" t="s">
        <v>10</v>
      </c>
      <c r="I770" s="13"/>
      <c r="J770" s="11" t="s">
        <v>49</v>
      </c>
      <c r="K770" s="12"/>
      <c r="L770" s="12"/>
      <c r="M770" s="11" t="s">
        <v>50</v>
      </c>
      <c r="N770" s="12" t="s">
        <v>51</v>
      </c>
      <c r="O770" s="11" t="s">
        <v>28</v>
      </c>
      <c r="P770" s="11" t="s">
        <v>52</v>
      </c>
      <c r="Q770" s="12" t="s">
        <v>3413</v>
      </c>
    </row>
    <row r="771" customFormat="false" ht="43.25" hidden="false" customHeight="false" outlineLevel="0" collapsed="false">
      <c r="A771" s="11" t="s">
        <v>3414</v>
      </c>
      <c r="B771" s="11" t="s">
        <v>17</v>
      </c>
      <c r="C771" s="11" t="s">
        <v>3415</v>
      </c>
      <c r="D771" s="12" t="s">
        <v>694</v>
      </c>
      <c r="E771" s="12" t="s">
        <v>3416</v>
      </c>
      <c r="F771" s="12" t="s">
        <v>3417</v>
      </c>
      <c r="G771" s="11" t="s">
        <v>2098</v>
      </c>
      <c r="H771" s="11" t="s">
        <v>5</v>
      </c>
      <c r="I771" s="13" t="n">
        <v>0.35</v>
      </c>
      <c r="J771" s="11" t="s">
        <v>49</v>
      </c>
      <c r="K771" s="12" t="s">
        <v>3418</v>
      </c>
      <c r="L771" s="12" t="s">
        <v>3419</v>
      </c>
      <c r="M771" s="11" t="s">
        <v>1643</v>
      </c>
      <c r="N771" s="12" t="s">
        <v>3420</v>
      </c>
      <c r="O771" s="11" t="s">
        <v>25</v>
      </c>
      <c r="P771" s="11" t="s">
        <v>52</v>
      </c>
      <c r="Q771" s="12"/>
    </row>
    <row r="772" customFormat="false" ht="64.15" hidden="false" customHeight="false" outlineLevel="0" collapsed="false">
      <c r="A772" s="11" t="s">
        <v>3421</v>
      </c>
      <c r="B772" s="11" t="s">
        <v>17</v>
      </c>
      <c r="C772" s="11" t="s">
        <v>3415</v>
      </c>
      <c r="D772" s="12" t="s">
        <v>3422</v>
      </c>
      <c r="E772" s="12" t="s">
        <v>3423</v>
      </c>
      <c r="F772" s="12" t="s">
        <v>3422</v>
      </c>
      <c r="G772" s="11" t="s">
        <v>2098</v>
      </c>
      <c r="H772" s="11" t="s">
        <v>4</v>
      </c>
      <c r="I772" s="13" t="n">
        <v>0.6</v>
      </c>
      <c r="J772" s="11" t="s">
        <v>49</v>
      </c>
      <c r="K772" s="12" t="s">
        <v>3424</v>
      </c>
      <c r="L772" s="12" t="s">
        <v>3425</v>
      </c>
      <c r="M772" s="11" t="s">
        <v>1643</v>
      </c>
      <c r="N772" s="12" t="s">
        <v>51</v>
      </c>
      <c r="O772" s="11" t="s">
        <v>27</v>
      </c>
      <c r="P772" s="11" t="s">
        <v>52</v>
      </c>
      <c r="Q772" s="12"/>
    </row>
    <row r="773" customFormat="false" ht="64.15" hidden="false" customHeight="false" outlineLevel="0" collapsed="false">
      <c r="A773" s="11" t="s">
        <v>3426</v>
      </c>
      <c r="B773" s="11" t="s">
        <v>17</v>
      </c>
      <c r="C773" s="11" t="s">
        <v>3415</v>
      </c>
      <c r="D773" s="12" t="s">
        <v>3427</v>
      </c>
      <c r="E773" s="12" t="s">
        <v>3428</v>
      </c>
      <c r="F773" s="12" t="s">
        <v>3427</v>
      </c>
      <c r="G773" s="11" t="s">
        <v>2098</v>
      </c>
      <c r="H773" s="11" t="s">
        <v>5</v>
      </c>
      <c r="I773" s="13" t="n">
        <v>0.35</v>
      </c>
      <c r="J773" s="11" t="s">
        <v>49</v>
      </c>
      <c r="K773" s="12" t="s">
        <v>3429</v>
      </c>
      <c r="L773" s="12" t="s">
        <v>3430</v>
      </c>
      <c r="M773" s="11" t="s">
        <v>1643</v>
      </c>
      <c r="N773" s="12" t="s">
        <v>3431</v>
      </c>
      <c r="O773" s="11" t="s">
        <v>25</v>
      </c>
      <c r="P773" s="11" t="s">
        <v>52</v>
      </c>
      <c r="Q773" s="12"/>
    </row>
    <row r="774" customFormat="false" ht="32.8" hidden="false" customHeight="false" outlineLevel="0" collapsed="false">
      <c r="A774" s="11" t="s">
        <v>3432</v>
      </c>
      <c r="B774" s="11" t="s">
        <v>17</v>
      </c>
      <c r="C774" s="11" t="s">
        <v>3415</v>
      </c>
      <c r="D774" s="12" t="s">
        <v>3433</v>
      </c>
      <c r="E774" s="12" t="s">
        <v>3434</v>
      </c>
      <c r="F774" s="12" t="s">
        <v>3433</v>
      </c>
      <c r="G774" s="11" t="s">
        <v>3435</v>
      </c>
      <c r="H774" s="11" t="s">
        <v>4</v>
      </c>
      <c r="I774" s="13" t="n">
        <v>0.5625</v>
      </c>
      <c r="J774" s="11" t="s">
        <v>49</v>
      </c>
      <c r="K774" s="12" t="s">
        <v>3436</v>
      </c>
      <c r="L774" s="12" t="s">
        <v>3437</v>
      </c>
      <c r="M774" s="11" t="s">
        <v>1643</v>
      </c>
      <c r="N774" s="12" t="s">
        <v>51</v>
      </c>
      <c r="O774" s="11" t="s">
        <v>27</v>
      </c>
      <c r="P774" s="11" t="s">
        <v>52</v>
      </c>
      <c r="Q774" s="12"/>
    </row>
    <row r="775" customFormat="false" ht="53.7" hidden="false" customHeight="false" outlineLevel="0" collapsed="false">
      <c r="A775" s="11" t="s">
        <v>3438</v>
      </c>
      <c r="B775" s="11" t="s">
        <v>17</v>
      </c>
      <c r="C775" s="11" t="s">
        <v>3415</v>
      </c>
      <c r="D775" s="12" t="s">
        <v>3439</v>
      </c>
      <c r="E775" s="12" t="s">
        <v>3440</v>
      </c>
      <c r="F775" s="12" t="s">
        <v>3441</v>
      </c>
      <c r="G775" s="11" t="s">
        <v>2098</v>
      </c>
      <c r="H775" s="11" t="s">
        <v>5</v>
      </c>
      <c r="I775" s="13" t="n">
        <v>0.325</v>
      </c>
      <c r="J775" s="11" t="s">
        <v>49</v>
      </c>
      <c r="K775" s="12" t="s">
        <v>3442</v>
      </c>
      <c r="L775" s="12" t="s">
        <v>3443</v>
      </c>
      <c r="M775" s="11" t="s">
        <v>1643</v>
      </c>
      <c r="N775" s="12" t="s">
        <v>3444</v>
      </c>
      <c r="O775" s="11" t="s">
        <v>25</v>
      </c>
      <c r="P775" s="11" t="s">
        <v>52</v>
      </c>
      <c r="Q775" s="12"/>
    </row>
    <row r="776" customFormat="false" ht="32.8" hidden="false" customHeight="false" outlineLevel="0" collapsed="false">
      <c r="A776" s="11" t="s">
        <v>3445</v>
      </c>
      <c r="B776" s="11" t="s">
        <v>17</v>
      </c>
      <c r="C776" s="11" t="s">
        <v>3415</v>
      </c>
      <c r="D776" s="12" t="s">
        <v>3446</v>
      </c>
      <c r="E776" s="12" t="s">
        <v>3447</v>
      </c>
      <c r="F776" s="12" t="s">
        <v>3448</v>
      </c>
      <c r="G776" s="11" t="s">
        <v>2098</v>
      </c>
      <c r="H776" s="11" t="s">
        <v>5</v>
      </c>
      <c r="I776" s="13" t="n">
        <v>0.4</v>
      </c>
      <c r="J776" s="11" t="s">
        <v>49</v>
      </c>
      <c r="K776" s="12" t="s">
        <v>3449</v>
      </c>
      <c r="L776" s="12" t="s">
        <v>3450</v>
      </c>
      <c r="M776" s="11" t="s">
        <v>1643</v>
      </c>
      <c r="N776" s="12" t="s">
        <v>3451</v>
      </c>
      <c r="O776" s="11" t="s">
        <v>25</v>
      </c>
      <c r="P776" s="11" t="s">
        <v>52</v>
      </c>
      <c r="Q776" s="12"/>
    </row>
    <row r="777" customFormat="false" ht="22.35" hidden="false" customHeight="false" outlineLevel="0" collapsed="false">
      <c r="A777" s="11" t="s">
        <v>3452</v>
      </c>
      <c r="B777" s="11" t="s">
        <v>17</v>
      </c>
      <c r="C777" s="11" t="s">
        <v>3415</v>
      </c>
      <c r="D777" s="12" t="s">
        <v>3453</v>
      </c>
      <c r="E777" s="12" t="s">
        <v>3454</v>
      </c>
      <c r="F777" s="12" t="s">
        <v>3453</v>
      </c>
      <c r="G777" s="11" t="s">
        <v>2098</v>
      </c>
      <c r="H777" s="11" t="s">
        <v>4</v>
      </c>
      <c r="I777" s="13" t="n">
        <v>0.875</v>
      </c>
      <c r="J777" s="11" t="s">
        <v>49</v>
      </c>
      <c r="K777" s="12" t="s">
        <v>3455</v>
      </c>
      <c r="L777" s="12" t="s">
        <v>3456</v>
      </c>
      <c r="M777" s="11" t="s">
        <v>1643</v>
      </c>
      <c r="N777" s="12" t="s">
        <v>51</v>
      </c>
      <c r="O777" s="11" t="s">
        <v>27</v>
      </c>
      <c r="P777" s="11" t="s">
        <v>52</v>
      </c>
      <c r="Q777" s="12"/>
    </row>
    <row r="778" customFormat="false" ht="32.8" hidden="false" customHeight="false" outlineLevel="0" collapsed="false">
      <c r="A778" s="11" t="s">
        <v>3457</v>
      </c>
      <c r="B778" s="11" t="s">
        <v>17</v>
      </c>
      <c r="C778" s="11" t="s">
        <v>3415</v>
      </c>
      <c r="D778" s="12" t="s">
        <v>3458</v>
      </c>
      <c r="E778" s="12" t="s">
        <v>3459</v>
      </c>
      <c r="F778" s="12" t="s">
        <v>3458</v>
      </c>
      <c r="G778" s="11" t="s">
        <v>2098</v>
      </c>
      <c r="H778" s="11" t="s">
        <v>4</v>
      </c>
      <c r="I778" s="13" t="n">
        <v>0.645161290322581</v>
      </c>
      <c r="J778" s="11" t="s">
        <v>49</v>
      </c>
      <c r="K778" s="12" t="s">
        <v>3460</v>
      </c>
      <c r="L778" s="12" t="s">
        <v>3461</v>
      </c>
      <c r="M778" s="11" t="s">
        <v>1643</v>
      </c>
      <c r="N778" s="12" t="s">
        <v>51</v>
      </c>
      <c r="O778" s="11" t="s">
        <v>27</v>
      </c>
      <c r="P778" s="11" t="s">
        <v>52</v>
      </c>
      <c r="Q778" s="12"/>
    </row>
    <row r="779" customFormat="false" ht="43.25" hidden="false" customHeight="false" outlineLevel="0" collapsed="false">
      <c r="A779" s="11" t="s">
        <v>3462</v>
      </c>
      <c r="B779" s="11" t="s">
        <v>17</v>
      </c>
      <c r="C779" s="11" t="s">
        <v>3415</v>
      </c>
      <c r="D779" s="12" t="s">
        <v>3463</v>
      </c>
      <c r="E779" s="12" t="s">
        <v>3464</v>
      </c>
      <c r="F779" s="12" t="s">
        <v>3465</v>
      </c>
      <c r="G779" s="11" t="s">
        <v>2098</v>
      </c>
      <c r="H779" s="11" t="s">
        <v>5</v>
      </c>
      <c r="I779" s="13" t="n">
        <v>0.375</v>
      </c>
      <c r="J779" s="11" t="s">
        <v>49</v>
      </c>
      <c r="K779" s="12" t="s">
        <v>3466</v>
      </c>
      <c r="L779" s="12" t="s">
        <v>3467</v>
      </c>
      <c r="M779" s="11" t="s">
        <v>1643</v>
      </c>
      <c r="N779" s="12" t="s">
        <v>3468</v>
      </c>
      <c r="O779" s="11" t="s">
        <v>25</v>
      </c>
      <c r="P779" s="11" t="s">
        <v>52</v>
      </c>
      <c r="Q779" s="12"/>
    </row>
    <row r="780" customFormat="false" ht="43.25" hidden="false" customHeight="false" outlineLevel="0" collapsed="false">
      <c r="A780" s="11" t="s">
        <v>3469</v>
      </c>
      <c r="B780" s="11" t="s">
        <v>17</v>
      </c>
      <c r="C780" s="11" t="s">
        <v>3415</v>
      </c>
      <c r="D780" s="12" t="s">
        <v>3470</v>
      </c>
      <c r="E780" s="12" t="s">
        <v>3471</v>
      </c>
      <c r="F780" s="12" t="s">
        <v>3470</v>
      </c>
      <c r="G780" s="11" t="s">
        <v>2098</v>
      </c>
      <c r="H780" s="11" t="s">
        <v>5</v>
      </c>
      <c r="I780" s="13" t="n">
        <v>0.475</v>
      </c>
      <c r="J780" s="11" t="s">
        <v>49</v>
      </c>
      <c r="K780" s="12" t="s">
        <v>3472</v>
      </c>
      <c r="L780" s="12" t="s">
        <v>3473</v>
      </c>
      <c r="M780" s="11" t="s">
        <v>1643</v>
      </c>
      <c r="N780" s="12" t="s">
        <v>3474</v>
      </c>
      <c r="O780" s="11" t="s">
        <v>25</v>
      </c>
      <c r="P780" s="11" t="s">
        <v>52</v>
      </c>
      <c r="Q780" s="12"/>
    </row>
    <row r="781" customFormat="false" ht="53.7" hidden="false" customHeight="false" outlineLevel="0" collapsed="false">
      <c r="A781" s="11" t="s">
        <v>3475</v>
      </c>
      <c r="B781" s="11" t="s">
        <v>17</v>
      </c>
      <c r="C781" s="11" t="s">
        <v>3415</v>
      </c>
      <c r="D781" s="12" t="s">
        <v>3476</v>
      </c>
      <c r="E781" s="12" t="s">
        <v>3477</v>
      </c>
      <c r="F781" s="12" t="s">
        <v>3478</v>
      </c>
      <c r="G781" s="11" t="s">
        <v>2098</v>
      </c>
      <c r="H781" s="11" t="s">
        <v>5</v>
      </c>
      <c r="I781" s="13" t="n">
        <v>0.525</v>
      </c>
      <c r="J781" s="11" t="s">
        <v>49</v>
      </c>
      <c r="K781" s="12" t="s">
        <v>3479</v>
      </c>
      <c r="L781" s="12" t="s">
        <v>3480</v>
      </c>
      <c r="M781" s="11" t="s">
        <v>1643</v>
      </c>
      <c r="N781" s="12" t="s">
        <v>3451</v>
      </c>
      <c r="O781" s="11" t="s">
        <v>25</v>
      </c>
      <c r="P781" s="11" t="s">
        <v>52</v>
      </c>
      <c r="Q781" s="12"/>
    </row>
    <row r="782" customFormat="false" ht="22.35" hidden="false" customHeight="false" outlineLevel="0" collapsed="false">
      <c r="A782" s="11" t="s">
        <v>3481</v>
      </c>
      <c r="B782" s="11" t="s">
        <v>17</v>
      </c>
      <c r="C782" s="11" t="s">
        <v>3415</v>
      </c>
      <c r="D782" s="12" t="s">
        <v>3482</v>
      </c>
      <c r="E782" s="12" t="s">
        <v>3483</v>
      </c>
      <c r="F782" s="12" t="s">
        <v>3482</v>
      </c>
      <c r="G782" s="11" t="s">
        <v>3435</v>
      </c>
      <c r="H782" s="11" t="s">
        <v>4</v>
      </c>
      <c r="I782" s="13" t="n">
        <v>0.833333333333333</v>
      </c>
      <c r="J782" s="11" t="s">
        <v>49</v>
      </c>
      <c r="K782" s="12" t="s">
        <v>3484</v>
      </c>
      <c r="L782" s="12" t="s">
        <v>3485</v>
      </c>
      <c r="M782" s="11" t="s">
        <v>1643</v>
      </c>
      <c r="N782" s="12" t="s">
        <v>51</v>
      </c>
      <c r="O782" s="11" t="s">
        <v>27</v>
      </c>
      <c r="P782" s="11" t="s">
        <v>52</v>
      </c>
      <c r="Q782" s="12"/>
    </row>
    <row r="783" customFormat="false" ht="22.35" hidden="false" customHeight="false" outlineLevel="0" collapsed="false">
      <c r="A783" s="11" t="s">
        <v>3486</v>
      </c>
      <c r="B783" s="11" t="s">
        <v>17</v>
      </c>
      <c r="C783" s="11" t="s">
        <v>3415</v>
      </c>
      <c r="D783" s="12" t="s">
        <v>3487</v>
      </c>
      <c r="E783" s="12" t="s">
        <v>3488</v>
      </c>
      <c r="F783" s="12" t="s">
        <v>3487</v>
      </c>
      <c r="G783" s="11" t="s">
        <v>2098</v>
      </c>
      <c r="H783" s="11" t="s">
        <v>4</v>
      </c>
      <c r="I783" s="13" t="n">
        <v>0.636363636363636</v>
      </c>
      <c r="J783" s="11" t="s">
        <v>49</v>
      </c>
      <c r="K783" s="12" t="s">
        <v>3489</v>
      </c>
      <c r="L783" s="12" t="s">
        <v>3490</v>
      </c>
      <c r="M783" s="11" t="s">
        <v>1643</v>
      </c>
      <c r="N783" s="12" t="s">
        <v>51</v>
      </c>
      <c r="O783" s="11" t="s">
        <v>27</v>
      </c>
      <c r="P783" s="11" t="s">
        <v>52</v>
      </c>
      <c r="Q783" s="12"/>
    </row>
    <row r="784" customFormat="false" ht="32.8" hidden="false" customHeight="false" outlineLevel="0" collapsed="false">
      <c r="A784" s="11" t="s">
        <v>3491</v>
      </c>
      <c r="B784" s="11" t="s">
        <v>17</v>
      </c>
      <c r="C784" s="11" t="s">
        <v>3415</v>
      </c>
      <c r="D784" s="12" t="s">
        <v>3492</v>
      </c>
      <c r="E784" s="12" t="s">
        <v>3493</v>
      </c>
      <c r="F784" s="12" t="s">
        <v>3494</v>
      </c>
      <c r="G784" s="11" t="s">
        <v>2098</v>
      </c>
      <c r="H784" s="11" t="s">
        <v>4</v>
      </c>
      <c r="I784" s="13" t="n">
        <v>0.6</v>
      </c>
      <c r="J784" s="11" t="s">
        <v>49</v>
      </c>
      <c r="K784" s="12" t="s">
        <v>3495</v>
      </c>
      <c r="L784" s="12" t="s">
        <v>3496</v>
      </c>
      <c r="M784" s="11" t="s">
        <v>1643</v>
      </c>
      <c r="N784" s="12" t="s">
        <v>51</v>
      </c>
      <c r="O784" s="11" t="s">
        <v>27</v>
      </c>
      <c r="P784" s="11" t="s">
        <v>52</v>
      </c>
      <c r="Q784" s="12"/>
    </row>
    <row r="785" customFormat="false" ht="43.25" hidden="false" customHeight="false" outlineLevel="0" collapsed="false">
      <c r="A785" s="11" t="s">
        <v>3497</v>
      </c>
      <c r="B785" s="11" t="s">
        <v>17</v>
      </c>
      <c r="C785" s="11" t="s">
        <v>3415</v>
      </c>
      <c r="D785" s="12" t="s">
        <v>3498</v>
      </c>
      <c r="E785" s="12" t="s">
        <v>3499</v>
      </c>
      <c r="F785" s="12" t="s">
        <v>3500</v>
      </c>
      <c r="G785" s="11" t="s">
        <v>3435</v>
      </c>
      <c r="H785" s="11" t="s">
        <v>5</v>
      </c>
      <c r="I785" s="13" t="n">
        <v>0.475</v>
      </c>
      <c r="J785" s="11" t="s">
        <v>49</v>
      </c>
      <c r="K785" s="12" t="s">
        <v>3501</v>
      </c>
      <c r="L785" s="12" t="s">
        <v>3502</v>
      </c>
      <c r="M785" s="11" t="s">
        <v>1643</v>
      </c>
      <c r="N785" s="12" t="s">
        <v>3474</v>
      </c>
      <c r="O785" s="11" t="s">
        <v>25</v>
      </c>
      <c r="P785" s="11" t="s">
        <v>52</v>
      </c>
      <c r="Q785" s="12"/>
    </row>
    <row r="786" customFormat="false" ht="22.35" hidden="false" customHeight="false" outlineLevel="0" collapsed="false">
      <c r="A786" s="11" t="s">
        <v>3503</v>
      </c>
      <c r="B786" s="11" t="s">
        <v>17</v>
      </c>
      <c r="C786" s="11" t="s">
        <v>3415</v>
      </c>
      <c r="D786" s="12" t="s">
        <v>3504</v>
      </c>
      <c r="E786" s="12" t="s">
        <v>3505</v>
      </c>
      <c r="F786" s="12" t="s">
        <v>3504</v>
      </c>
      <c r="G786" s="11" t="s">
        <v>3506</v>
      </c>
      <c r="H786" s="11" t="s">
        <v>9</v>
      </c>
      <c r="I786" s="13"/>
      <c r="J786" s="11" t="s">
        <v>49</v>
      </c>
      <c r="K786" s="12"/>
      <c r="L786" s="12"/>
      <c r="M786" s="11" t="s">
        <v>1643</v>
      </c>
      <c r="N786" s="12" t="s">
        <v>51</v>
      </c>
      <c r="O786" s="11" t="s">
        <v>28</v>
      </c>
      <c r="P786" s="11" t="s">
        <v>52</v>
      </c>
      <c r="Q786" s="12" t="s">
        <v>3072</v>
      </c>
    </row>
    <row r="787" customFormat="false" ht="22.35" hidden="false" customHeight="false" outlineLevel="0" collapsed="false">
      <c r="A787" s="11" t="s">
        <v>3507</v>
      </c>
      <c r="B787" s="11" t="s">
        <v>17</v>
      </c>
      <c r="C787" s="11" t="s">
        <v>3415</v>
      </c>
      <c r="D787" s="12" t="s">
        <v>3508</v>
      </c>
      <c r="E787" s="12" t="s">
        <v>3509</v>
      </c>
      <c r="F787" s="12" t="s">
        <v>3510</v>
      </c>
      <c r="G787" s="11" t="s">
        <v>3511</v>
      </c>
      <c r="H787" s="11" t="s">
        <v>9</v>
      </c>
      <c r="I787" s="13"/>
      <c r="J787" s="11" t="s">
        <v>49</v>
      </c>
      <c r="K787" s="12"/>
      <c r="L787" s="12"/>
      <c r="M787" s="11" t="s">
        <v>1643</v>
      </c>
      <c r="N787" s="12" t="s">
        <v>51</v>
      </c>
      <c r="O787" s="11" t="s">
        <v>28</v>
      </c>
      <c r="P787" s="11" t="s">
        <v>52</v>
      </c>
      <c r="Q787" s="12" t="s">
        <v>3072</v>
      </c>
    </row>
    <row r="788" customFormat="false" ht="43.25" hidden="false" customHeight="false" outlineLevel="0" collapsed="false">
      <c r="A788" s="11" t="s">
        <v>3512</v>
      </c>
      <c r="B788" s="11" t="s">
        <v>17</v>
      </c>
      <c r="C788" s="11" t="s">
        <v>3415</v>
      </c>
      <c r="D788" s="12" t="s">
        <v>3513</v>
      </c>
      <c r="E788" s="12" t="s">
        <v>3514</v>
      </c>
      <c r="F788" s="12" t="s">
        <v>3515</v>
      </c>
      <c r="G788" s="11" t="s">
        <v>2098</v>
      </c>
      <c r="H788" s="11" t="s">
        <v>5</v>
      </c>
      <c r="I788" s="13" t="n">
        <v>0.413793103448276</v>
      </c>
      <c r="J788" s="11" t="s">
        <v>49</v>
      </c>
      <c r="K788" s="12" t="s">
        <v>3516</v>
      </c>
      <c r="L788" s="12" t="s">
        <v>3517</v>
      </c>
      <c r="M788" s="11" t="s">
        <v>1643</v>
      </c>
      <c r="N788" s="12" t="s">
        <v>3518</v>
      </c>
      <c r="O788" s="11" t="s">
        <v>25</v>
      </c>
      <c r="P788" s="11" t="s">
        <v>52</v>
      </c>
      <c r="Q788" s="12"/>
    </row>
    <row r="789" customFormat="false" ht="53.7" hidden="false" customHeight="false" outlineLevel="0" collapsed="false">
      <c r="A789" s="11" t="s">
        <v>3519</v>
      </c>
      <c r="B789" s="11" t="s">
        <v>17</v>
      </c>
      <c r="C789" s="11" t="s">
        <v>3415</v>
      </c>
      <c r="D789" s="12" t="s">
        <v>3520</v>
      </c>
      <c r="E789" s="12" t="s">
        <v>3521</v>
      </c>
      <c r="F789" s="12" t="s">
        <v>3522</v>
      </c>
      <c r="G789" s="11" t="s">
        <v>2997</v>
      </c>
      <c r="H789" s="11" t="s">
        <v>4</v>
      </c>
      <c r="I789" s="13" t="n">
        <v>0.625</v>
      </c>
      <c r="J789" s="11" t="s">
        <v>49</v>
      </c>
      <c r="K789" s="12" t="s">
        <v>3523</v>
      </c>
      <c r="L789" s="12" t="s">
        <v>3524</v>
      </c>
      <c r="M789" s="11" t="s">
        <v>1643</v>
      </c>
      <c r="N789" s="12" t="s">
        <v>51</v>
      </c>
      <c r="O789" s="11" t="s">
        <v>27</v>
      </c>
      <c r="P789" s="11" t="s">
        <v>52</v>
      </c>
      <c r="Q789" s="12"/>
    </row>
    <row r="790" customFormat="false" ht="53.7" hidden="false" customHeight="false" outlineLevel="0" collapsed="false">
      <c r="A790" s="11" t="s">
        <v>3525</v>
      </c>
      <c r="B790" s="11" t="s">
        <v>17</v>
      </c>
      <c r="C790" s="11" t="s">
        <v>3526</v>
      </c>
      <c r="D790" s="12" t="s">
        <v>2964</v>
      </c>
      <c r="E790" s="12" t="s">
        <v>3527</v>
      </c>
      <c r="F790" s="12" t="s">
        <v>2964</v>
      </c>
      <c r="G790" s="11" t="s">
        <v>1775</v>
      </c>
      <c r="H790" s="11" t="s">
        <v>5</v>
      </c>
      <c r="I790" s="13" t="n">
        <v>0.378378378378378</v>
      </c>
      <c r="J790" s="11" t="s">
        <v>49</v>
      </c>
      <c r="K790" s="12" t="s">
        <v>3528</v>
      </c>
      <c r="L790" s="12" t="s">
        <v>3529</v>
      </c>
      <c r="M790" s="11" t="s">
        <v>50</v>
      </c>
      <c r="N790" s="12" t="s">
        <v>3518</v>
      </c>
      <c r="O790" s="11" t="s">
        <v>25</v>
      </c>
      <c r="P790" s="11" t="s">
        <v>52</v>
      </c>
      <c r="Q790" s="12"/>
    </row>
    <row r="791" customFormat="false" ht="53.7" hidden="false" customHeight="false" outlineLevel="0" collapsed="false">
      <c r="A791" s="11" t="s">
        <v>3530</v>
      </c>
      <c r="B791" s="11" t="s">
        <v>17</v>
      </c>
      <c r="C791" s="11" t="s">
        <v>3526</v>
      </c>
      <c r="D791" s="12" t="s">
        <v>3531</v>
      </c>
      <c r="E791" s="12" t="s">
        <v>3532</v>
      </c>
      <c r="F791" s="12" t="s">
        <v>3533</v>
      </c>
      <c r="G791" s="11" t="s">
        <v>1775</v>
      </c>
      <c r="H791" s="11" t="s">
        <v>6</v>
      </c>
      <c r="I791" s="13" t="n">
        <v>0.133333333333333</v>
      </c>
      <c r="J791" s="11" t="s">
        <v>49</v>
      </c>
      <c r="K791" s="12" t="s">
        <v>3534</v>
      </c>
      <c r="L791" s="12" t="s">
        <v>3535</v>
      </c>
      <c r="M791" s="11" t="s">
        <v>50</v>
      </c>
      <c r="N791" s="12" t="s">
        <v>3536</v>
      </c>
      <c r="O791" s="11" t="s">
        <v>25</v>
      </c>
      <c r="P791" s="11" t="s">
        <v>52</v>
      </c>
      <c r="Q791" s="12"/>
    </row>
    <row r="792" customFormat="false" ht="32.8" hidden="false" customHeight="false" outlineLevel="0" collapsed="false">
      <c r="A792" s="11" t="s">
        <v>3537</v>
      </c>
      <c r="B792" s="11" t="s">
        <v>17</v>
      </c>
      <c r="C792" s="11" t="s">
        <v>3538</v>
      </c>
      <c r="D792" s="12" t="s">
        <v>3539</v>
      </c>
      <c r="E792" s="12" t="s">
        <v>3540</v>
      </c>
      <c r="F792" s="12" t="s">
        <v>3539</v>
      </c>
      <c r="G792" s="11" t="s">
        <v>1775</v>
      </c>
      <c r="H792" s="11" t="s">
        <v>5</v>
      </c>
      <c r="I792" s="13" t="n">
        <v>0.45</v>
      </c>
      <c r="J792" s="11" t="s">
        <v>49</v>
      </c>
      <c r="K792" s="12" t="s">
        <v>3541</v>
      </c>
      <c r="L792" s="12" t="s">
        <v>3542</v>
      </c>
      <c r="M792" s="11" t="s">
        <v>50</v>
      </c>
      <c r="N792" s="12" t="s">
        <v>3518</v>
      </c>
      <c r="O792" s="11" t="s">
        <v>25</v>
      </c>
      <c r="P792" s="11" t="s">
        <v>52</v>
      </c>
      <c r="Q792" s="12"/>
    </row>
    <row r="793" customFormat="false" ht="22.35" hidden="false" customHeight="false" outlineLevel="0" collapsed="false">
      <c r="A793" s="11" t="s">
        <v>3543</v>
      </c>
      <c r="B793" s="11" t="s">
        <v>17</v>
      </c>
      <c r="C793" s="11" t="s">
        <v>3538</v>
      </c>
      <c r="D793" s="12" t="s">
        <v>3544</v>
      </c>
      <c r="E793" s="12" t="s">
        <v>3545</v>
      </c>
      <c r="F793" s="12" t="s">
        <v>3544</v>
      </c>
      <c r="G793" s="11" t="s">
        <v>1775</v>
      </c>
      <c r="H793" s="11" t="s">
        <v>4</v>
      </c>
      <c r="I793" s="13" t="n">
        <v>0.571428571428571</v>
      </c>
      <c r="J793" s="11" t="s">
        <v>49</v>
      </c>
      <c r="K793" s="12" t="s">
        <v>3546</v>
      </c>
      <c r="L793" s="12" t="s">
        <v>3547</v>
      </c>
      <c r="M793" s="11" t="s">
        <v>50</v>
      </c>
      <c r="N793" s="12" t="s">
        <v>51</v>
      </c>
      <c r="O793" s="11" t="s">
        <v>27</v>
      </c>
      <c r="P793" s="11" t="s">
        <v>52</v>
      </c>
      <c r="Q793" s="12"/>
    </row>
    <row r="794" customFormat="false" ht="43.25" hidden="false" customHeight="false" outlineLevel="0" collapsed="false">
      <c r="A794" s="11" t="s">
        <v>3548</v>
      </c>
      <c r="B794" s="11" t="s">
        <v>17</v>
      </c>
      <c r="C794" s="11" t="s">
        <v>3538</v>
      </c>
      <c r="D794" s="12" t="s">
        <v>3549</v>
      </c>
      <c r="E794" s="12" t="s">
        <v>3550</v>
      </c>
      <c r="F794" s="12" t="s">
        <v>3549</v>
      </c>
      <c r="G794" s="11" t="s">
        <v>1775</v>
      </c>
      <c r="H794" s="11" t="s">
        <v>6</v>
      </c>
      <c r="I794" s="13" t="n">
        <v>0.15625</v>
      </c>
      <c r="J794" s="11" t="s">
        <v>49</v>
      </c>
      <c r="K794" s="12" t="s">
        <v>3551</v>
      </c>
      <c r="L794" s="12" t="s">
        <v>3552</v>
      </c>
      <c r="M794" s="11" t="s">
        <v>50</v>
      </c>
      <c r="N794" s="12" t="s">
        <v>3536</v>
      </c>
      <c r="O794" s="11" t="s">
        <v>25</v>
      </c>
      <c r="P794" s="11" t="s">
        <v>52</v>
      </c>
      <c r="Q794" s="12"/>
    </row>
    <row r="795" customFormat="false" ht="32.8" hidden="false" customHeight="false" outlineLevel="0" collapsed="false">
      <c r="A795" s="11" t="s">
        <v>3553</v>
      </c>
      <c r="B795" s="11" t="s">
        <v>17</v>
      </c>
      <c r="C795" s="11" t="s">
        <v>3538</v>
      </c>
      <c r="D795" s="12" t="s">
        <v>3554</v>
      </c>
      <c r="E795" s="12" t="s">
        <v>3555</v>
      </c>
      <c r="F795" s="12" t="s">
        <v>3554</v>
      </c>
      <c r="G795" s="11" t="s">
        <v>1775</v>
      </c>
      <c r="H795" s="11" t="s">
        <v>5</v>
      </c>
      <c r="I795" s="13" t="n">
        <v>0.428571428571429</v>
      </c>
      <c r="J795" s="11" t="s">
        <v>49</v>
      </c>
      <c r="K795" s="12" t="s">
        <v>3556</v>
      </c>
      <c r="L795" s="12" t="s">
        <v>3557</v>
      </c>
      <c r="M795" s="11" t="s">
        <v>50</v>
      </c>
      <c r="N795" s="12" t="s">
        <v>3518</v>
      </c>
      <c r="O795" s="11" t="s">
        <v>25</v>
      </c>
      <c r="P795" s="11" t="s">
        <v>52</v>
      </c>
      <c r="Q795" s="12"/>
    </row>
    <row r="796" customFormat="false" ht="64.15" hidden="false" customHeight="false" outlineLevel="0" collapsed="false">
      <c r="A796" s="11" t="s">
        <v>3558</v>
      </c>
      <c r="B796" s="11" t="s">
        <v>17</v>
      </c>
      <c r="C796" s="11" t="s">
        <v>3538</v>
      </c>
      <c r="D796" s="12" t="s">
        <v>3559</v>
      </c>
      <c r="E796" s="12" t="s">
        <v>3560</v>
      </c>
      <c r="F796" s="12" t="s">
        <v>3559</v>
      </c>
      <c r="G796" s="11" t="s">
        <v>1775</v>
      </c>
      <c r="H796" s="11" t="s">
        <v>5</v>
      </c>
      <c r="I796" s="13" t="n">
        <v>0.307692307692308</v>
      </c>
      <c r="J796" s="11" t="s">
        <v>49</v>
      </c>
      <c r="K796" s="12" t="s">
        <v>3561</v>
      </c>
      <c r="L796" s="12" t="s">
        <v>3562</v>
      </c>
      <c r="M796" s="11" t="s">
        <v>50</v>
      </c>
      <c r="N796" s="12" t="s">
        <v>3474</v>
      </c>
      <c r="O796" s="11" t="s">
        <v>25</v>
      </c>
      <c r="P796" s="11" t="s">
        <v>52</v>
      </c>
      <c r="Q796" s="12"/>
    </row>
    <row r="797" customFormat="false" ht="32.8" hidden="false" customHeight="false" outlineLevel="0" collapsed="false">
      <c r="A797" s="11" t="s">
        <v>3563</v>
      </c>
      <c r="B797" s="11" t="s">
        <v>17</v>
      </c>
      <c r="C797" s="11" t="s">
        <v>3538</v>
      </c>
      <c r="D797" s="12" t="s">
        <v>3564</v>
      </c>
      <c r="E797" s="12" t="s">
        <v>3565</v>
      </c>
      <c r="F797" s="12" t="s">
        <v>3564</v>
      </c>
      <c r="G797" s="11" t="s">
        <v>1775</v>
      </c>
      <c r="H797" s="11" t="s">
        <v>6</v>
      </c>
      <c r="I797" s="13" t="n">
        <v>0.142857142857143</v>
      </c>
      <c r="J797" s="11" t="s">
        <v>49</v>
      </c>
      <c r="K797" s="12" t="s">
        <v>3566</v>
      </c>
      <c r="L797" s="12" t="s">
        <v>3567</v>
      </c>
      <c r="M797" s="11" t="s">
        <v>50</v>
      </c>
      <c r="N797" s="12" t="s">
        <v>3568</v>
      </c>
      <c r="O797" s="11" t="s">
        <v>25</v>
      </c>
      <c r="P797" s="11" t="s">
        <v>52</v>
      </c>
      <c r="Q797" s="12"/>
    </row>
    <row r="798" customFormat="false" ht="43.25" hidden="false" customHeight="false" outlineLevel="0" collapsed="false">
      <c r="A798" s="11" t="s">
        <v>3569</v>
      </c>
      <c r="B798" s="11" t="s">
        <v>17</v>
      </c>
      <c r="C798" s="11" t="s">
        <v>3538</v>
      </c>
      <c r="D798" s="12" t="s">
        <v>3570</v>
      </c>
      <c r="E798" s="12" t="s">
        <v>3571</v>
      </c>
      <c r="F798" s="12" t="s">
        <v>3572</v>
      </c>
      <c r="G798" s="11" t="s">
        <v>1775</v>
      </c>
      <c r="H798" s="11" t="s">
        <v>5</v>
      </c>
      <c r="I798" s="13" t="n">
        <v>0.533333333333333</v>
      </c>
      <c r="J798" s="11" t="s">
        <v>49</v>
      </c>
      <c r="K798" s="12" t="s">
        <v>3573</v>
      </c>
      <c r="L798" s="12" t="s">
        <v>3574</v>
      </c>
      <c r="M798" s="11" t="s">
        <v>50</v>
      </c>
      <c r="N798" s="12" t="s">
        <v>3518</v>
      </c>
      <c r="O798" s="11" t="s">
        <v>25</v>
      </c>
      <c r="P798" s="11" t="s">
        <v>52</v>
      </c>
      <c r="Q798" s="12"/>
    </row>
    <row r="799" customFormat="false" ht="22.35" hidden="false" customHeight="false" outlineLevel="0" collapsed="false">
      <c r="A799" s="11" t="s">
        <v>3575</v>
      </c>
      <c r="B799" s="11" t="s">
        <v>17</v>
      </c>
      <c r="C799" s="11" t="s">
        <v>3538</v>
      </c>
      <c r="D799" s="12" t="s">
        <v>3576</v>
      </c>
      <c r="E799" s="12" t="s">
        <v>3577</v>
      </c>
      <c r="F799" s="12" t="s">
        <v>3576</v>
      </c>
      <c r="G799" s="11" t="s">
        <v>2098</v>
      </c>
      <c r="H799" s="11" t="s">
        <v>5</v>
      </c>
      <c r="I799" s="13" t="n">
        <v>0.5</v>
      </c>
      <c r="J799" s="11" t="s">
        <v>49</v>
      </c>
      <c r="K799" s="12" t="s">
        <v>3578</v>
      </c>
      <c r="L799" s="12" t="s">
        <v>3579</v>
      </c>
      <c r="M799" s="11" t="s">
        <v>50</v>
      </c>
      <c r="N799" s="12" t="s">
        <v>3518</v>
      </c>
      <c r="O799" s="11" t="s">
        <v>25</v>
      </c>
      <c r="P799" s="11" t="s">
        <v>52</v>
      </c>
      <c r="Q799" s="12"/>
    </row>
    <row r="800" customFormat="false" ht="43.25" hidden="false" customHeight="false" outlineLevel="0" collapsed="false">
      <c r="A800" s="11" t="s">
        <v>3580</v>
      </c>
      <c r="B800" s="11" t="s">
        <v>17</v>
      </c>
      <c r="C800" s="11" t="s">
        <v>3581</v>
      </c>
      <c r="D800" s="12" t="s">
        <v>3582</v>
      </c>
      <c r="E800" s="12" t="s">
        <v>3583</v>
      </c>
      <c r="F800" s="12" t="s">
        <v>3582</v>
      </c>
      <c r="G800" s="11" t="s">
        <v>2098</v>
      </c>
      <c r="H800" s="11" t="s">
        <v>5</v>
      </c>
      <c r="I800" s="13" t="n">
        <v>0.363636363636364</v>
      </c>
      <c r="J800" s="11" t="s">
        <v>49</v>
      </c>
      <c r="K800" s="12" t="s">
        <v>3584</v>
      </c>
      <c r="L800" s="12" t="s">
        <v>3585</v>
      </c>
      <c r="M800" s="11" t="s">
        <v>50</v>
      </c>
      <c r="N800" s="12" t="s">
        <v>3586</v>
      </c>
      <c r="O800" s="11" t="s">
        <v>25</v>
      </c>
      <c r="P800" s="11" t="s">
        <v>52</v>
      </c>
      <c r="Q800" s="12"/>
    </row>
    <row r="801" customFormat="false" ht="43.25" hidden="false" customHeight="false" outlineLevel="0" collapsed="false">
      <c r="A801" s="11" t="s">
        <v>3587</v>
      </c>
      <c r="B801" s="11" t="s">
        <v>17</v>
      </c>
      <c r="C801" s="11" t="s">
        <v>3581</v>
      </c>
      <c r="D801" s="12" t="s">
        <v>3588</v>
      </c>
      <c r="E801" s="12" t="s">
        <v>3589</v>
      </c>
      <c r="F801" s="12" t="s">
        <v>3590</v>
      </c>
      <c r="G801" s="11" t="s">
        <v>1775</v>
      </c>
      <c r="H801" s="11" t="s">
        <v>5</v>
      </c>
      <c r="I801" s="13" t="n">
        <v>0.425</v>
      </c>
      <c r="J801" s="11" t="s">
        <v>49</v>
      </c>
      <c r="K801" s="12" t="s">
        <v>3591</v>
      </c>
      <c r="L801" s="12" t="s">
        <v>3592</v>
      </c>
      <c r="M801" s="11" t="s">
        <v>50</v>
      </c>
      <c r="N801" s="12" t="s">
        <v>3586</v>
      </c>
      <c r="O801" s="11" t="s">
        <v>25</v>
      </c>
      <c r="P801" s="11" t="s">
        <v>52</v>
      </c>
      <c r="Q801" s="12"/>
    </row>
    <row r="802" customFormat="false" ht="43.25" hidden="false" customHeight="false" outlineLevel="0" collapsed="false">
      <c r="A802" s="11" t="s">
        <v>3593</v>
      </c>
      <c r="B802" s="11" t="s">
        <v>17</v>
      </c>
      <c r="C802" s="11" t="s">
        <v>3581</v>
      </c>
      <c r="D802" s="12" t="s">
        <v>3594</v>
      </c>
      <c r="E802" s="12" t="s">
        <v>3595</v>
      </c>
      <c r="F802" s="12" t="s">
        <v>3596</v>
      </c>
      <c r="G802" s="11" t="s">
        <v>1775</v>
      </c>
      <c r="H802" s="11" t="s">
        <v>4</v>
      </c>
      <c r="I802" s="13" t="n">
        <v>0.625</v>
      </c>
      <c r="J802" s="11" t="s">
        <v>49</v>
      </c>
      <c r="K802" s="12" t="s">
        <v>3597</v>
      </c>
      <c r="L802" s="12" t="s">
        <v>3598</v>
      </c>
      <c r="M802" s="11" t="s">
        <v>50</v>
      </c>
      <c r="N802" s="12" t="s">
        <v>51</v>
      </c>
      <c r="O802" s="11" t="s">
        <v>27</v>
      </c>
      <c r="P802" s="11" t="s">
        <v>52</v>
      </c>
      <c r="Q802" s="12"/>
    </row>
    <row r="803" customFormat="false" ht="32.8" hidden="false" customHeight="false" outlineLevel="0" collapsed="false">
      <c r="A803" s="11" t="s">
        <v>3599</v>
      </c>
      <c r="B803" s="11" t="s">
        <v>17</v>
      </c>
      <c r="C803" s="11" t="s">
        <v>3581</v>
      </c>
      <c r="D803" s="12" t="s">
        <v>3600</v>
      </c>
      <c r="E803" s="12" t="s">
        <v>3601</v>
      </c>
      <c r="F803" s="12" t="s">
        <v>3602</v>
      </c>
      <c r="G803" s="11" t="s">
        <v>1775</v>
      </c>
      <c r="H803" s="11" t="s">
        <v>5</v>
      </c>
      <c r="I803" s="13" t="n">
        <v>0.25</v>
      </c>
      <c r="J803" s="11" t="s">
        <v>49</v>
      </c>
      <c r="K803" s="12" t="s">
        <v>3534</v>
      </c>
      <c r="L803" s="12" t="s">
        <v>3603</v>
      </c>
      <c r="M803" s="11" t="s">
        <v>50</v>
      </c>
      <c r="N803" s="12" t="s">
        <v>3586</v>
      </c>
      <c r="O803" s="11" t="s">
        <v>25</v>
      </c>
      <c r="P803" s="11" t="s">
        <v>52</v>
      </c>
      <c r="Q803" s="12"/>
    </row>
    <row r="804" customFormat="false" ht="32.8" hidden="false" customHeight="false" outlineLevel="0" collapsed="false">
      <c r="A804" s="11" t="s">
        <v>3604</v>
      </c>
      <c r="B804" s="11" t="s">
        <v>17</v>
      </c>
      <c r="C804" s="11" t="s">
        <v>3605</v>
      </c>
      <c r="D804" s="12" t="s">
        <v>3606</v>
      </c>
      <c r="E804" s="12" t="s">
        <v>3607</v>
      </c>
      <c r="F804" s="12" t="s">
        <v>3606</v>
      </c>
      <c r="G804" s="11" t="s">
        <v>1775</v>
      </c>
      <c r="H804" s="11" t="s">
        <v>6</v>
      </c>
      <c r="I804" s="13" t="n">
        <v>0.142857142857143</v>
      </c>
      <c r="J804" s="11" t="s">
        <v>49</v>
      </c>
      <c r="K804" s="12"/>
      <c r="L804" s="12" t="s">
        <v>3608</v>
      </c>
      <c r="M804" s="11" t="s">
        <v>50</v>
      </c>
      <c r="N804" s="12" t="s">
        <v>3536</v>
      </c>
      <c r="O804" s="11" t="s">
        <v>25</v>
      </c>
      <c r="P804" s="11" t="s">
        <v>52</v>
      </c>
      <c r="Q804" s="12"/>
    </row>
    <row r="805" customFormat="false" ht="15" hidden="false" customHeight="false" outlineLevel="0" collapsed="false">
      <c r="A805" s="11" t="s">
        <v>3609</v>
      </c>
      <c r="B805" s="11" t="s">
        <v>17</v>
      </c>
      <c r="C805" s="11" t="s">
        <v>3605</v>
      </c>
      <c r="D805" s="12" t="s">
        <v>3610</v>
      </c>
      <c r="E805" s="12" t="s">
        <v>3611</v>
      </c>
      <c r="F805" s="12" t="s">
        <v>3610</v>
      </c>
      <c r="G805" s="11" t="s">
        <v>1775</v>
      </c>
      <c r="H805" s="11" t="s">
        <v>9</v>
      </c>
      <c r="I805" s="13"/>
      <c r="J805" s="11" t="s">
        <v>49</v>
      </c>
      <c r="K805" s="12"/>
      <c r="L805" s="12"/>
      <c r="M805" s="11" t="s">
        <v>50</v>
      </c>
      <c r="N805" s="12" t="s">
        <v>51</v>
      </c>
      <c r="O805" s="11" t="s">
        <v>28</v>
      </c>
      <c r="P805" s="11" t="s">
        <v>52</v>
      </c>
      <c r="Q805" s="12" t="s">
        <v>3072</v>
      </c>
    </row>
    <row r="806" customFormat="false" ht="74.6" hidden="false" customHeight="false" outlineLevel="0" collapsed="false">
      <c r="A806" s="11" t="s">
        <v>3612</v>
      </c>
      <c r="B806" s="11" t="s">
        <v>17</v>
      </c>
      <c r="C806" s="11" t="s">
        <v>3605</v>
      </c>
      <c r="D806" s="12" t="s">
        <v>3613</v>
      </c>
      <c r="E806" s="12" t="s">
        <v>3614</v>
      </c>
      <c r="F806" s="12" t="s">
        <v>3613</v>
      </c>
      <c r="G806" s="11" t="s">
        <v>1775</v>
      </c>
      <c r="H806" s="11" t="s">
        <v>5</v>
      </c>
      <c r="I806" s="13" t="n">
        <v>0.310344827586207</v>
      </c>
      <c r="J806" s="11" t="s">
        <v>49</v>
      </c>
      <c r="K806" s="12" t="s">
        <v>3615</v>
      </c>
      <c r="L806" s="12" t="s">
        <v>3616</v>
      </c>
      <c r="M806" s="11" t="s">
        <v>50</v>
      </c>
      <c r="N806" s="12" t="s">
        <v>3518</v>
      </c>
      <c r="O806" s="11" t="s">
        <v>25</v>
      </c>
      <c r="P806" s="11" t="s">
        <v>52</v>
      </c>
      <c r="Q806" s="12"/>
    </row>
    <row r="807" customFormat="false" ht="15" hidden="false" customHeight="false" outlineLevel="0" collapsed="false">
      <c r="A807" s="11" t="s">
        <v>3617</v>
      </c>
      <c r="B807" s="11" t="s">
        <v>17</v>
      </c>
      <c r="C807" s="11" t="s">
        <v>3605</v>
      </c>
      <c r="D807" s="12" t="s">
        <v>3618</v>
      </c>
      <c r="E807" s="12" t="s">
        <v>3619</v>
      </c>
      <c r="F807" s="12" t="s">
        <v>3618</v>
      </c>
      <c r="G807" s="11" t="s">
        <v>1775</v>
      </c>
      <c r="H807" s="11" t="s">
        <v>4</v>
      </c>
      <c r="I807" s="13" t="n">
        <v>0.714285714285714</v>
      </c>
      <c r="J807" s="11" t="s">
        <v>49</v>
      </c>
      <c r="K807" s="12" t="s">
        <v>3620</v>
      </c>
      <c r="L807" s="12" t="s">
        <v>3621</v>
      </c>
      <c r="M807" s="11" t="s">
        <v>50</v>
      </c>
      <c r="N807" s="12" t="s">
        <v>51</v>
      </c>
      <c r="O807" s="11" t="s">
        <v>27</v>
      </c>
      <c r="P807" s="11" t="s">
        <v>52</v>
      </c>
      <c r="Q807" s="12"/>
    </row>
    <row r="808" customFormat="false" ht="15" hidden="false" customHeight="false" outlineLevel="0" collapsed="false">
      <c r="A808" s="11" t="s">
        <v>3622</v>
      </c>
      <c r="B808" s="11" t="s">
        <v>17</v>
      </c>
      <c r="C808" s="11" t="s">
        <v>3605</v>
      </c>
      <c r="D808" s="12" t="s">
        <v>3623</v>
      </c>
      <c r="E808" s="12" t="s">
        <v>3624</v>
      </c>
      <c r="F808" s="12" t="s">
        <v>3623</v>
      </c>
      <c r="G808" s="11" t="s">
        <v>1775</v>
      </c>
      <c r="H808" s="11" t="s">
        <v>9</v>
      </c>
      <c r="I808" s="13"/>
      <c r="J808" s="11" t="s">
        <v>49</v>
      </c>
      <c r="K808" s="12"/>
      <c r="L808" s="12"/>
      <c r="M808" s="11" t="s">
        <v>50</v>
      </c>
      <c r="N808" s="12" t="s">
        <v>51</v>
      </c>
      <c r="O808" s="11" t="s">
        <v>28</v>
      </c>
      <c r="P808" s="11" t="s">
        <v>52</v>
      </c>
      <c r="Q808" s="12" t="s">
        <v>3072</v>
      </c>
    </row>
    <row r="809" customFormat="false" ht="15" hidden="false" customHeight="false" outlineLevel="0" collapsed="false">
      <c r="A809" s="11" t="s">
        <v>3625</v>
      </c>
      <c r="B809" s="11" t="s">
        <v>17</v>
      </c>
      <c r="C809" s="11" t="s">
        <v>3605</v>
      </c>
      <c r="D809" s="12" t="s">
        <v>3626</v>
      </c>
      <c r="E809" s="12" t="s">
        <v>3627</v>
      </c>
      <c r="F809" s="12" t="s">
        <v>3626</v>
      </c>
      <c r="G809" s="11" t="s">
        <v>1775</v>
      </c>
      <c r="H809" s="11" t="s">
        <v>6</v>
      </c>
      <c r="I809" s="13" t="n">
        <v>0</v>
      </c>
      <c r="J809" s="11" t="s">
        <v>49</v>
      </c>
      <c r="K809" s="12"/>
      <c r="L809" s="12" t="s">
        <v>3628</v>
      </c>
      <c r="M809" s="11" t="s">
        <v>50</v>
      </c>
      <c r="N809" s="12" t="s">
        <v>3536</v>
      </c>
      <c r="O809" s="11" t="s">
        <v>25</v>
      </c>
      <c r="P809" s="11" t="s">
        <v>52</v>
      </c>
      <c r="Q809" s="12"/>
    </row>
    <row r="810" customFormat="false" ht="43.25" hidden="false" customHeight="false" outlineLevel="0" collapsed="false">
      <c r="A810" s="11" t="s">
        <v>3629</v>
      </c>
      <c r="B810" s="11" t="s">
        <v>17</v>
      </c>
      <c r="C810" s="11" t="s">
        <v>3605</v>
      </c>
      <c r="D810" s="12" t="s">
        <v>3630</v>
      </c>
      <c r="E810" s="12" t="s">
        <v>3631</v>
      </c>
      <c r="F810" s="12" t="s">
        <v>3632</v>
      </c>
      <c r="G810" s="11" t="s">
        <v>1775</v>
      </c>
      <c r="H810" s="11" t="s">
        <v>5</v>
      </c>
      <c r="I810" s="13" t="n">
        <v>0.333333333333333</v>
      </c>
      <c r="J810" s="11" t="s">
        <v>49</v>
      </c>
      <c r="K810" s="12" t="s">
        <v>3633</v>
      </c>
      <c r="L810" s="12" t="s">
        <v>3634</v>
      </c>
      <c r="M810" s="11" t="s">
        <v>50</v>
      </c>
      <c r="N810" s="12" t="s">
        <v>3518</v>
      </c>
      <c r="O810" s="11" t="s">
        <v>25</v>
      </c>
      <c r="P810" s="11" t="s">
        <v>52</v>
      </c>
      <c r="Q810" s="12"/>
    </row>
    <row r="811" customFormat="false" ht="22.35" hidden="false" customHeight="false" outlineLevel="0" collapsed="false">
      <c r="A811" s="11" t="s">
        <v>3635</v>
      </c>
      <c r="B811" s="11" t="s">
        <v>17</v>
      </c>
      <c r="C811" s="11" t="s">
        <v>3605</v>
      </c>
      <c r="D811" s="12" t="s">
        <v>3636</v>
      </c>
      <c r="E811" s="12" t="s">
        <v>3637</v>
      </c>
      <c r="F811" s="12" t="s">
        <v>3638</v>
      </c>
      <c r="G811" s="11" t="s">
        <v>1775</v>
      </c>
      <c r="H811" s="11" t="s">
        <v>5</v>
      </c>
      <c r="I811" s="13" t="n">
        <v>0.5</v>
      </c>
      <c r="J811" s="11" t="s">
        <v>49</v>
      </c>
      <c r="K811" s="12"/>
      <c r="L811" s="12" t="s">
        <v>3639</v>
      </c>
      <c r="M811" s="11" t="s">
        <v>50</v>
      </c>
      <c r="N811" s="12" t="s">
        <v>3518</v>
      </c>
      <c r="O811" s="11" t="s">
        <v>25</v>
      </c>
      <c r="P811" s="11" t="s">
        <v>52</v>
      </c>
      <c r="Q811" s="12"/>
    </row>
    <row r="812" customFormat="false" ht="15" hidden="false" customHeight="false" outlineLevel="0" collapsed="false">
      <c r="A812" s="11" t="s">
        <v>3640</v>
      </c>
      <c r="B812" s="11" t="s">
        <v>17</v>
      </c>
      <c r="C812" s="11" t="s">
        <v>3605</v>
      </c>
      <c r="D812" s="12" t="s">
        <v>3641</v>
      </c>
      <c r="E812" s="12" t="s">
        <v>3642</v>
      </c>
      <c r="F812" s="12" t="s">
        <v>3641</v>
      </c>
      <c r="G812" s="11" t="s">
        <v>1775</v>
      </c>
      <c r="H812" s="11" t="s">
        <v>4</v>
      </c>
      <c r="I812" s="13" t="n">
        <v>1</v>
      </c>
      <c r="J812" s="11" t="s">
        <v>49</v>
      </c>
      <c r="K812" s="12"/>
      <c r="L812" s="12"/>
      <c r="M812" s="11" t="s">
        <v>50</v>
      </c>
      <c r="N812" s="12" t="s">
        <v>51</v>
      </c>
      <c r="O812" s="11" t="s">
        <v>27</v>
      </c>
      <c r="P812" s="11" t="s">
        <v>52</v>
      </c>
      <c r="Q812" s="12"/>
    </row>
    <row r="813" customFormat="false" ht="15" hidden="false" customHeight="false" outlineLevel="0" collapsed="false">
      <c r="A813" s="11" t="s">
        <v>3643</v>
      </c>
      <c r="B813" s="11" t="s">
        <v>17</v>
      </c>
      <c r="C813" s="11" t="s">
        <v>3605</v>
      </c>
      <c r="D813" s="12" t="s">
        <v>3644</v>
      </c>
      <c r="E813" s="12" t="s">
        <v>3645</v>
      </c>
      <c r="F813" s="12" t="s">
        <v>3644</v>
      </c>
      <c r="G813" s="11" t="s">
        <v>1775</v>
      </c>
      <c r="H813" s="11" t="s">
        <v>9</v>
      </c>
      <c r="I813" s="13"/>
      <c r="J813" s="11" t="s">
        <v>49</v>
      </c>
      <c r="K813" s="12"/>
      <c r="L813" s="12"/>
      <c r="M813" s="11" t="s">
        <v>50</v>
      </c>
      <c r="N813" s="12" t="s">
        <v>51</v>
      </c>
      <c r="O813" s="11" t="s">
        <v>28</v>
      </c>
      <c r="P813" s="11" t="s">
        <v>52</v>
      </c>
      <c r="Q813" s="12" t="s">
        <v>3072</v>
      </c>
    </row>
    <row r="814" customFormat="false" ht="15" hidden="false" customHeight="false" outlineLevel="0" collapsed="false">
      <c r="A814" s="11" t="s">
        <v>3646</v>
      </c>
      <c r="B814" s="11" t="s">
        <v>17</v>
      </c>
      <c r="C814" s="11" t="s">
        <v>3605</v>
      </c>
      <c r="D814" s="12" t="s">
        <v>3647</v>
      </c>
      <c r="E814" s="12" t="s">
        <v>3648</v>
      </c>
      <c r="F814" s="12" t="s">
        <v>3647</v>
      </c>
      <c r="G814" s="11" t="s">
        <v>1775</v>
      </c>
      <c r="H814" s="11" t="s">
        <v>6</v>
      </c>
      <c r="I814" s="13" t="n">
        <v>0</v>
      </c>
      <c r="J814" s="11" t="s">
        <v>49</v>
      </c>
      <c r="K814" s="12"/>
      <c r="L814" s="12" t="s">
        <v>3649</v>
      </c>
      <c r="M814" s="11" t="s">
        <v>50</v>
      </c>
      <c r="N814" s="12" t="s">
        <v>3536</v>
      </c>
      <c r="O814" s="11" t="s">
        <v>25</v>
      </c>
      <c r="P814" s="11" t="s">
        <v>52</v>
      </c>
      <c r="Q814" s="12"/>
    </row>
    <row r="815" customFormat="false" ht="22.35" hidden="false" customHeight="false" outlineLevel="0" collapsed="false">
      <c r="A815" s="11" t="s">
        <v>3650</v>
      </c>
      <c r="B815" s="11" t="s">
        <v>17</v>
      </c>
      <c r="C815" s="11" t="s">
        <v>3605</v>
      </c>
      <c r="D815" s="12" t="s">
        <v>3651</v>
      </c>
      <c r="E815" s="12" t="s">
        <v>3652</v>
      </c>
      <c r="F815" s="12" t="s">
        <v>3651</v>
      </c>
      <c r="G815" s="11" t="s">
        <v>1775</v>
      </c>
      <c r="H815" s="11" t="s">
        <v>6</v>
      </c>
      <c r="I815" s="13" t="n">
        <v>0</v>
      </c>
      <c r="J815" s="11" t="s">
        <v>49</v>
      </c>
      <c r="K815" s="12"/>
      <c r="L815" s="12" t="s">
        <v>3653</v>
      </c>
      <c r="M815" s="11" t="s">
        <v>50</v>
      </c>
      <c r="N815" s="12" t="s">
        <v>3536</v>
      </c>
      <c r="O815" s="11" t="s">
        <v>25</v>
      </c>
      <c r="P815" s="11" t="s">
        <v>52</v>
      </c>
      <c r="Q815" s="12"/>
    </row>
    <row r="816" customFormat="false" ht="64.15" hidden="false" customHeight="false" outlineLevel="0" collapsed="false">
      <c r="A816" s="11" t="s">
        <v>3654</v>
      </c>
      <c r="B816" s="11" t="s">
        <v>17</v>
      </c>
      <c r="C816" s="11" t="s">
        <v>3605</v>
      </c>
      <c r="D816" s="12" t="s">
        <v>3655</v>
      </c>
      <c r="E816" s="12" t="s">
        <v>3656</v>
      </c>
      <c r="F816" s="12" t="s">
        <v>3655</v>
      </c>
      <c r="G816" s="11" t="s">
        <v>1775</v>
      </c>
      <c r="H816" s="11" t="s">
        <v>6</v>
      </c>
      <c r="I816" s="13" t="n">
        <v>0.176470588235294</v>
      </c>
      <c r="J816" s="11" t="s">
        <v>49</v>
      </c>
      <c r="K816" s="12"/>
      <c r="L816" s="12" t="s">
        <v>3657</v>
      </c>
      <c r="M816" s="11" t="s">
        <v>50</v>
      </c>
      <c r="N816" s="12" t="s">
        <v>3536</v>
      </c>
      <c r="O816" s="11" t="s">
        <v>25</v>
      </c>
      <c r="P816" s="11" t="s">
        <v>52</v>
      </c>
      <c r="Q816" s="12"/>
    </row>
    <row r="817" customFormat="false" ht="22.35" hidden="false" customHeight="false" outlineLevel="0" collapsed="false">
      <c r="A817" s="11" t="s">
        <v>3658</v>
      </c>
      <c r="B817" s="11" t="s">
        <v>17</v>
      </c>
      <c r="C817" s="11" t="s">
        <v>3605</v>
      </c>
      <c r="D817" s="12" t="s">
        <v>3659</v>
      </c>
      <c r="E817" s="12" t="s">
        <v>3660</v>
      </c>
      <c r="F817" s="12" t="s">
        <v>3659</v>
      </c>
      <c r="G817" s="11" t="s">
        <v>1775</v>
      </c>
      <c r="H817" s="11" t="s">
        <v>6</v>
      </c>
      <c r="I817" s="13" t="n">
        <v>0</v>
      </c>
      <c r="J817" s="11" t="s">
        <v>49</v>
      </c>
      <c r="K817" s="12"/>
      <c r="L817" s="12" t="s">
        <v>3661</v>
      </c>
      <c r="M817" s="11" t="s">
        <v>1809</v>
      </c>
      <c r="N817" s="12" t="s">
        <v>3204</v>
      </c>
      <c r="O817" s="11" t="s">
        <v>26</v>
      </c>
      <c r="P817" s="11" t="s">
        <v>52</v>
      </c>
      <c r="Q817" s="12"/>
    </row>
    <row r="818" customFormat="false" ht="15" hidden="false" customHeight="false" outlineLevel="0" collapsed="false">
      <c r="A818" s="11" t="s">
        <v>3662</v>
      </c>
      <c r="B818" s="11" t="s">
        <v>18</v>
      </c>
      <c r="C818" s="11" t="s">
        <v>3663</v>
      </c>
      <c r="D818" s="12" t="s">
        <v>3664</v>
      </c>
      <c r="E818" s="12" t="s">
        <v>3665</v>
      </c>
      <c r="F818" s="12" t="s">
        <v>3666</v>
      </c>
      <c r="G818" s="11" t="s">
        <v>2098</v>
      </c>
      <c r="H818" s="11" t="s">
        <v>4</v>
      </c>
      <c r="I818" s="13" t="n">
        <v>1</v>
      </c>
      <c r="J818" s="11" t="s">
        <v>49</v>
      </c>
      <c r="K818" s="12"/>
      <c r="L818" s="12"/>
      <c r="M818" s="11" t="s">
        <v>50</v>
      </c>
      <c r="N818" s="12" t="s">
        <v>51</v>
      </c>
      <c r="O818" s="11" t="s">
        <v>27</v>
      </c>
      <c r="P818" s="11" t="s">
        <v>52</v>
      </c>
      <c r="Q818" s="12" t="s">
        <v>3667</v>
      </c>
    </row>
    <row r="819" customFormat="false" ht="15" hidden="false" customHeight="false" outlineLevel="0" collapsed="false">
      <c r="A819" s="11" t="s">
        <v>3668</v>
      </c>
      <c r="B819" s="11" t="s">
        <v>18</v>
      </c>
      <c r="C819" s="11" t="s">
        <v>3663</v>
      </c>
      <c r="D819" s="12" t="s">
        <v>3669</v>
      </c>
      <c r="E819" s="12" t="s">
        <v>3665</v>
      </c>
      <c r="F819" s="12" t="s">
        <v>3670</v>
      </c>
      <c r="G819" s="11" t="s">
        <v>2098</v>
      </c>
      <c r="H819" s="11" t="s">
        <v>4</v>
      </c>
      <c r="I819" s="13" t="n">
        <v>1</v>
      </c>
      <c r="J819" s="11" t="s">
        <v>49</v>
      </c>
      <c r="K819" s="12" t="s">
        <v>1225</v>
      </c>
      <c r="L819" s="12"/>
      <c r="M819" s="11" t="s">
        <v>50</v>
      </c>
      <c r="N819" s="12" t="s">
        <v>51</v>
      </c>
      <c r="O819" s="11" t="s">
        <v>27</v>
      </c>
      <c r="P819" s="11" t="s">
        <v>52</v>
      </c>
      <c r="Q819" s="12"/>
    </row>
    <row r="820" customFormat="false" ht="15" hidden="false" customHeight="false" outlineLevel="0" collapsed="false">
      <c r="A820" s="11" t="s">
        <v>3671</v>
      </c>
      <c r="B820" s="11" t="s">
        <v>18</v>
      </c>
      <c r="C820" s="11" t="s">
        <v>3663</v>
      </c>
      <c r="D820" s="12" t="s">
        <v>3672</v>
      </c>
      <c r="E820" s="12" t="s">
        <v>3665</v>
      </c>
      <c r="F820" s="12" t="s">
        <v>3673</v>
      </c>
      <c r="G820" s="11" t="s">
        <v>2098</v>
      </c>
      <c r="H820" s="11" t="s">
        <v>4</v>
      </c>
      <c r="I820" s="13" t="n">
        <v>1</v>
      </c>
      <c r="J820" s="11" t="s">
        <v>49</v>
      </c>
      <c r="K820" s="12"/>
      <c r="L820" s="12"/>
      <c r="M820" s="11" t="s">
        <v>50</v>
      </c>
      <c r="N820" s="12" t="s">
        <v>51</v>
      </c>
      <c r="O820" s="11" t="s">
        <v>27</v>
      </c>
      <c r="P820" s="11" t="s">
        <v>52</v>
      </c>
      <c r="Q820" s="12" t="s">
        <v>3667</v>
      </c>
    </row>
    <row r="821" customFormat="false" ht="22.35" hidden="false" customHeight="false" outlineLevel="0" collapsed="false">
      <c r="A821" s="11" t="s">
        <v>3674</v>
      </c>
      <c r="B821" s="11" t="s">
        <v>18</v>
      </c>
      <c r="C821" s="11" t="s">
        <v>3663</v>
      </c>
      <c r="D821" s="12" t="s">
        <v>3675</v>
      </c>
      <c r="E821" s="12" t="s">
        <v>3665</v>
      </c>
      <c r="F821" s="12" t="s">
        <v>3676</v>
      </c>
      <c r="G821" s="11" t="s">
        <v>2098</v>
      </c>
      <c r="H821" s="11" t="s">
        <v>5</v>
      </c>
      <c r="I821" s="13" t="n">
        <v>0.5</v>
      </c>
      <c r="J821" s="11" t="s">
        <v>49</v>
      </c>
      <c r="K821" s="12" t="s">
        <v>1225</v>
      </c>
      <c r="L821" s="12" t="s">
        <v>3677</v>
      </c>
      <c r="M821" s="11" t="s">
        <v>50</v>
      </c>
      <c r="N821" s="12" t="s">
        <v>1189</v>
      </c>
      <c r="O821" s="11" t="s">
        <v>25</v>
      </c>
      <c r="P821" s="11" t="s">
        <v>52</v>
      </c>
      <c r="Q821" s="12"/>
    </row>
    <row r="822" customFormat="false" ht="22.35" hidden="false" customHeight="false" outlineLevel="0" collapsed="false">
      <c r="A822" s="11" t="s">
        <v>3678</v>
      </c>
      <c r="B822" s="11" t="s">
        <v>18</v>
      </c>
      <c r="C822" s="11" t="s">
        <v>3663</v>
      </c>
      <c r="D822" s="12" t="s">
        <v>3679</v>
      </c>
      <c r="E822" s="12" t="s">
        <v>3665</v>
      </c>
      <c r="F822" s="12" t="s">
        <v>3680</v>
      </c>
      <c r="G822" s="11" t="s">
        <v>2098</v>
      </c>
      <c r="H822" s="11" t="s">
        <v>5</v>
      </c>
      <c r="I822" s="13" t="n">
        <v>0.4</v>
      </c>
      <c r="J822" s="11" t="s">
        <v>49</v>
      </c>
      <c r="K822" s="12" t="s">
        <v>1225</v>
      </c>
      <c r="L822" s="12" t="s">
        <v>3681</v>
      </c>
      <c r="M822" s="11" t="s">
        <v>50</v>
      </c>
      <c r="N822" s="12" t="s">
        <v>1189</v>
      </c>
      <c r="O822" s="11" t="s">
        <v>25</v>
      </c>
      <c r="P822" s="11" t="s">
        <v>52</v>
      </c>
      <c r="Q822" s="12"/>
    </row>
    <row r="823" customFormat="false" ht="22.35" hidden="false" customHeight="false" outlineLevel="0" collapsed="false">
      <c r="A823" s="11" t="s">
        <v>3682</v>
      </c>
      <c r="B823" s="11" t="s">
        <v>18</v>
      </c>
      <c r="C823" s="11" t="s">
        <v>3683</v>
      </c>
      <c r="D823" s="12" t="s">
        <v>3684</v>
      </c>
      <c r="E823" s="12" t="s">
        <v>3685</v>
      </c>
      <c r="F823" s="12" t="s">
        <v>3686</v>
      </c>
      <c r="G823" s="11" t="s">
        <v>2098</v>
      </c>
      <c r="H823" s="11" t="s">
        <v>4</v>
      </c>
      <c r="I823" s="13" t="n">
        <v>0.6</v>
      </c>
      <c r="J823" s="11" t="s">
        <v>49</v>
      </c>
      <c r="K823" s="12" t="s">
        <v>1249</v>
      </c>
      <c r="L823" s="12" t="s">
        <v>3687</v>
      </c>
      <c r="M823" s="11" t="s">
        <v>50</v>
      </c>
      <c r="N823" s="12" t="s">
        <v>51</v>
      </c>
      <c r="O823" s="11" t="s">
        <v>27</v>
      </c>
      <c r="P823" s="11" t="s">
        <v>52</v>
      </c>
      <c r="Q823" s="12"/>
    </row>
    <row r="824" customFormat="false" ht="15" hidden="false" customHeight="false" outlineLevel="0" collapsed="false">
      <c r="A824" s="11" t="s">
        <v>3688</v>
      </c>
      <c r="B824" s="11" t="s">
        <v>18</v>
      </c>
      <c r="C824" s="11" t="s">
        <v>3683</v>
      </c>
      <c r="D824" s="12" t="s">
        <v>3689</v>
      </c>
      <c r="E824" s="12" t="s">
        <v>3685</v>
      </c>
      <c r="F824" s="12" t="s">
        <v>3690</v>
      </c>
      <c r="G824" s="11" t="s">
        <v>2098</v>
      </c>
      <c r="H824" s="11" t="s">
        <v>4</v>
      </c>
      <c r="I824" s="13" t="n">
        <v>1</v>
      </c>
      <c r="J824" s="11" t="s">
        <v>49</v>
      </c>
      <c r="K824" s="12" t="s">
        <v>1225</v>
      </c>
      <c r="L824" s="12"/>
      <c r="M824" s="11" t="s">
        <v>50</v>
      </c>
      <c r="N824" s="12" t="s">
        <v>51</v>
      </c>
      <c r="O824" s="11" t="s">
        <v>27</v>
      </c>
      <c r="P824" s="11" t="s">
        <v>52</v>
      </c>
      <c r="Q824" s="12"/>
    </row>
    <row r="825" customFormat="false" ht="15" hidden="false" customHeight="false" outlineLevel="0" collapsed="false">
      <c r="A825" s="11" t="s">
        <v>3691</v>
      </c>
      <c r="B825" s="11" t="s">
        <v>18</v>
      </c>
      <c r="C825" s="11" t="s">
        <v>3683</v>
      </c>
      <c r="D825" s="12" t="s">
        <v>3692</v>
      </c>
      <c r="E825" s="12" t="s">
        <v>3685</v>
      </c>
      <c r="F825" s="12" t="s">
        <v>3693</v>
      </c>
      <c r="G825" s="11" t="s">
        <v>2098</v>
      </c>
      <c r="H825" s="11" t="s">
        <v>4</v>
      </c>
      <c r="I825" s="13" t="n">
        <v>1</v>
      </c>
      <c r="J825" s="11" t="s">
        <v>49</v>
      </c>
      <c r="K825" s="12" t="s">
        <v>1225</v>
      </c>
      <c r="L825" s="12"/>
      <c r="M825" s="11" t="s">
        <v>50</v>
      </c>
      <c r="N825" s="12" t="s">
        <v>51</v>
      </c>
      <c r="O825" s="11" t="s">
        <v>27</v>
      </c>
      <c r="P825" s="11" t="s">
        <v>52</v>
      </c>
      <c r="Q825" s="12"/>
    </row>
    <row r="826" customFormat="false" ht="22.35" hidden="false" customHeight="false" outlineLevel="0" collapsed="false">
      <c r="A826" s="11" t="s">
        <v>3694</v>
      </c>
      <c r="B826" s="11" t="s">
        <v>18</v>
      </c>
      <c r="C826" s="11" t="s">
        <v>3683</v>
      </c>
      <c r="D826" s="12" t="s">
        <v>3695</v>
      </c>
      <c r="E826" s="12" t="s">
        <v>3685</v>
      </c>
      <c r="F826" s="12" t="s">
        <v>3696</v>
      </c>
      <c r="G826" s="11" t="s">
        <v>2098</v>
      </c>
      <c r="H826" s="11" t="s">
        <v>4</v>
      </c>
      <c r="I826" s="13" t="n">
        <v>1</v>
      </c>
      <c r="J826" s="11" t="s">
        <v>49</v>
      </c>
      <c r="K826" s="12" t="s">
        <v>3697</v>
      </c>
      <c r="L826" s="12"/>
      <c r="M826" s="11" t="s">
        <v>50</v>
      </c>
      <c r="N826" s="12" t="s">
        <v>51</v>
      </c>
      <c r="O826" s="11" t="s">
        <v>27</v>
      </c>
      <c r="P826" s="11" t="s">
        <v>52</v>
      </c>
      <c r="Q826" s="12"/>
    </row>
    <row r="827" customFormat="false" ht="22.35" hidden="false" customHeight="false" outlineLevel="0" collapsed="false">
      <c r="A827" s="11" t="s">
        <v>3698</v>
      </c>
      <c r="B827" s="11" t="s">
        <v>18</v>
      </c>
      <c r="C827" s="11" t="s">
        <v>3699</v>
      </c>
      <c r="D827" s="12" t="s">
        <v>3700</v>
      </c>
      <c r="E827" s="12" t="s">
        <v>3701</v>
      </c>
      <c r="F827" s="12" t="s">
        <v>3702</v>
      </c>
      <c r="G827" s="11" t="s">
        <v>2098</v>
      </c>
      <c r="H827" s="11" t="s">
        <v>4</v>
      </c>
      <c r="I827" s="13" t="n">
        <v>1</v>
      </c>
      <c r="J827" s="11" t="s">
        <v>49</v>
      </c>
      <c r="K827" s="12" t="s">
        <v>1211</v>
      </c>
      <c r="L827" s="12"/>
      <c r="M827" s="11" t="s">
        <v>50</v>
      </c>
      <c r="N827" s="12" t="s">
        <v>51</v>
      </c>
      <c r="O827" s="11" t="s">
        <v>27</v>
      </c>
      <c r="P827" s="11" t="s">
        <v>52</v>
      </c>
      <c r="Q827" s="12"/>
    </row>
    <row r="828" customFormat="false" ht="22.35" hidden="false" customHeight="false" outlineLevel="0" collapsed="false">
      <c r="A828" s="11" t="s">
        <v>3703</v>
      </c>
      <c r="B828" s="11" t="s">
        <v>18</v>
      </c>
      <c r="C828" s="11" t="s">
        <v>3699</v>
      </c>
      <c r="D828" s="12" t="s">
        <v>3704</v>
      </c>
      <c r="E828" s="12" t="s">
        <v>3701</v>
      </c>
      <c r="F828" s="12" t="s">
        <v>3705</v>
      </c>
      <c r="G828" s="11" t="s">
        <v>2098</v>
      </c>
      <c r="H828" s="11" t="s">
        <v>5</v>
      </c>
      <c r="I828" s="13" t="n">
        <v>0.5</v>
      </c>
      <c r="J828" s="11" t="s">
        <v>49</v>
      </c>
      <c r="K828" s="12" t="s">
        <v>3706</v>
      </c>
      <c r="L828" s="12" t="s">
        <v>3707</v>
      </c>
      <c r="M828" s="11" t="s">
        <v>50</v>
      </c>
      <c r="N828" s="12" t="s">
        <v>1189</v>
      </c>
      <c r="O828" s="11" t="s">
        <v>25</v>
      </c>
      <c r="P828" s="11" t="s">
        <v>52</v>
      </c>
      <c r="Q828" s="12"/>
    </row>
    <row r="829" customFormat="false" ht="15" hidden="false" customHeight="false" outlineLevel="0" collapsed="false">
      <c r="A829" s="11" t="s">
        <v>3708</v>
      </c>
      <c r="B829" s="11" t="s">
        <v>18</v>
      </c>
      <c r="C829" s="11" t="s">
        <v>3699</v>
      </c>
      <c r="D829" s="12" t="s">
        <v>3709</v>
      </c>
      <c r="E829" s="12" t="s">
        <v>3701</v>
      </c>
      <c r="F829" s="12" t="s">
        <v>3710</v>
      </c>
      <c r="G829" s="11" t="s">
        <v>2098</v>
      </c>
      <c r="H829" s="11" t="s">
        <v>4</v>
      </c>
      <c r="I829" s="13" t="n">
        <v>0.555555555555556</v>
      </c>
      <c r="J829" s="11" t="s">
        <v>49</v>
      </c>
      <c r="K829" s="12" t="s">
        <v>3711</v>
      </c>
      <c r="L829" s="12" t="s">
        <v>3712</v>
      </c>
      <c r="M829" s="11" t="s">
        <v>50</v>
      </c>
      <c r="N829" s="12" t="s">
        <v>51</v>
      </c>
      <c r="O829" s="11" t="s">
        <v>27</v>
      </c>
      <c r="P829" s="11" t="s">
        <v>52</v>
      </c>
      <c r="Q829" s="12"/>
    </row>
    <row r="830" customFormat="false" ht="22.35" hidden="false" customHeight="false" outlineLevel="0" collapsed="false">
      <c r="A830" s="11" t="s">
        <v>3713</v>
      </c>
      <c r="B830" s="11" t="s">
        <v>18</v>
      </c>
      <c r="C830" s="11" t="s">
        <v>3714</v>
      </c>
      <c r="D830" s="12" t="s">
        <v>3715</v>
      </c>
      <c r="E830" s="12" t="s">
        <v>3716</v>
      </c>
      <c r="F830" s="12" t="s">
        <v>3717</v>
      </c>
      <c r="G830" s="11" t="s">
        <v>2098</v>
      </c>
      <c r="H830" s="11" t="s">
        <v>4</v>
      </c>
      <c r="I830" s="13" t="n">
        <v>0.9</v>
      </c>
      <c r="J830" s="11" t="s">
        <v>49</v>
      </c>
      <c r="K830" s="12" t="s">
        <v>3718</v>
      </c>
      <c r="L830" s="12" t="s">
        <v>3719</v>
      </c>
      <c r="M830" s="11" t="s">
        <v>50</v>
      </c>
      <c r="N830" s="12" t="s">
        <v>51</v>
      </c>
      <c r="O830" s="11" t="s">
        <v>27</v>
      </c>
      <c r="P830" s="11" t="s">
        <v>52</v>
      </c>
      <c r="Q830" s="12"/>
    </row>
    <row r="831" customFormat="false" ht="22.35" hidden="false" customHeight="false" outlineLevel="0" collapsed="false">
      <c r="A831" s="11" t="s">
        <v>3720</v>
      </c>
      <c r="B831" s="11" t="s">
        <v>18</v>
      </c>
      <c r="C831" s="11" t="s">
        <v>3714</v>
      </c>
      <c r="D831" s="12" t="s">
        <v>3721</v>
      </c>
      <c r="E831" s="12" t="s">
        <v>3716</v>
      </c>
      <c r="F831" s="12" t="s">
        <v>3722</v>
      </c>
      <c r="G831" s="11" t="s">
        <v>2098</v>
      </c>
      <c r="H831" s="11" t="s">
        <v>4</v>
      </c>
      <c r="I831" s="13" t="n">
        <v>1</v>
      </c>
      <c r="J831" s="11" t="s">
        <v>49</v>
      </c>
      <c r="K831" s="12" t="s">
        <v>3723</v>
      </c>
      <c r="L831" s="12"/>
      <c r="M831" s="11" t="s">
        <v>50</v>
      </c>
      <c r="N831" s="12" t="s">
        <v>51</v>
      </c>
      <c r="O831" s="11" t="s">
        <v>27</v>
      </c>
      <c r="P831" s="11" t="s">
        <v>52</v>
      </c>
      <c r="Q831" s="12"/>
    </row>
    <row r="832" customFormat="false" ht="22.35" hidden="false" customHeight="false" outlineLevel="0" collapsed="false">
      <c r="A832" s="11" t="s">
        <v>3724</v>
      </c>
      <c r="B832" s="11" t="s">
        <v>18</v>
      </c>
      <c r="C832" s="11" t="s">
        <v>3714</v>
      </c>
      <c r="D832" s="12" t="s">
        <v>3725</v>
      </c>
      <c r="E832" s="12" t="s">
        <v>3716</v>
      </c>
      <c r="F832" s="12" t="s">
        <v>3726</v>
      </c>
      <c r="G832" s="11" t="s">
        <v>2098</v>
      </c>
      <c r="H832" s="11" t="s">
        <v>4</v>
      </c>
      <c r="I832" s="13" t="n">
        <v>0.8</v>
      </c>
      <c r="J832" s="11" t="s">
        <v>49</v>
      </c>
      <c r="K832" s="12" t="s">
        <v>3727</v>
      </c>
      <c r="L832" s="12" t="s">
        <v>3728</v>
      </c>
      <c r="M832" s="11" t="s">
        <v>50</v>
      </c>
      <c r="N832" s="12" t="s">
        <v>51</v>
      </c>
      <c r="O832" s="11" t="s">
        <v>27</v>
      </c>
      <c r="P832" s="11" t="s">
        <v>52</v>
      </c>
      <c r="Q832" s="12"/>
    </row>
    <row r="833" customFormat="false" ht="22.35" hidden="false" customHeight="false" outlineLevel="0" collapsed="false">
      <c r="A833" s="11" t="s">
        <v>3729</v>
      </c>
      <c r="B833" s="11" t="s">
        <v>18</v>
      </c>
      <c r="C833" s="11" t="s">
        <v>3714</v>
      </c>
      <c r="D833" s="12" t="s">
        <v>3730</v>
      </c>
      <c r="E833" s="12" t="s">
        <v>3716</v>
      </c>
      <c r="F833" s="12" t="s">
        <v>3731</v>
      </c>
      <c r="G833" s="11" t="s">
        <v>2098</v>
      </c>
      <c r="H833" s="11" t="s">
        <v>4</v>
      </c>
      <c r="I833" s="13" t="n">
        <v>0.777777777777778</v>
      </c>
      <c r="J833" s="11" t="s">
        <v>49</v>
      </c>
      <c r="K833" s="12" t="s">
        <v>3732</v>
      </c>
      <c r="L833" s="12" t="s">
        <v>3733</v>
      </c>
      <c r="M833" s="11" t="s">
        <v>50</v>
      </c>
      <c r="N833" s="12" t="s">
        <v>51</v>
      </c>
      <c r="O833" s="11" t="s">
        <v>27</v>
      </c>
      <c r="P833" s="11" t="s">
        <v>52</v>
      </c>
      <c r="Q833" s="12"/>
    </row>
    <row r="834" customFormat="false" ht="22.35" hidden="false" customHeight="false" outlineLevel="0" collapsed="false">
      <c r="A834" s="11" t="s">
        <v>3734</v>
      </c>
      <c r="B834" s="11" t="s">
        <v>18</v>
      </c>
      <c r="C834" s="11" t="s">
        <v>3714</v>
      </c>
      <c r="D834" s="12" t="s">
        <v>3735</v>
      </c>
      <c r="E834" s="12" t="s">
        <v>3716</v>
      </c>
      <c r="F834" s="12" t="s">
        <v>3736</v>
      </c>
      <c r="G834" s="11" t="s">
        <v>2098</v>
      </c>
      <c r="H834" s="11" t="s">
        <v>4</v>
      </c>
      <c r="I834" s="13" t="n">
        <v>0.888888888888889</v>
      </c>
      <c r="J834" s="11" t="s">
        <v>49</v>
      </c>
      <c r="K834" s="12" t="s">
        <v>3737</v>
      </c>
      <c r="L834" s="12" t="s">
        <v>3738</v>
      </c>
      <c r="M834" s="11" t="s">
        <v>50</v>
      </c>
      <c r="N834" s="12" t="s">
        <v>51</v>
      </c>
      <c r="O834" s="11" t="s">
        <v>27</v>
      </c>
      <c r="P834" s="11" t="s">
        <v>52</v>
      </c>
      <c r="Q834" s="12"/>
    </row>
    <row r="835" customFormat="false" ht="22.35" hidden="false" customHeight="false" outlineLevel="0" collapsed="false">
      <c r="A835" s="11" t="s">
        <v>3739</v>
      </c>
      <c r="B835" s="11" t="s">
        <v>18</v>
      </c>
      <c r="C835" s="11" t="s">
        <v>3714</v>
      </c>
      <c r="D835" s="12" t="s">
        <v>3740</v>
      </c>
      <c r="E835" s="12" t="s">
        <v>3716</v>
      </c>
      <c r="F835" s="12" t="s">
        <v>3741</v>
      </c>
      <c r="G835" s="11" t="s">
        <v>2098</v>
      </c>
      <c r="H835" s="11" t="s">
        <v>4</v>
      </c>
      <c r="I835" s="13" t="n">
        <v>1</v>
      </c>
      <c r="J835" s="11" t="s">
        <v>49</v>
      </c>
      <c r="K835" s="12" t="s">
        <v>3742</v>
      </c>
      <c r="L835" s="12"/>
      <c r="M835" s="11" t="s">
        <v>50</v>
      </c>
      <c r="N835" s="12" t="s">
        <v>51</v>
      </c>
      <c r="O835" s="11" t="s">
        <v>27</v>
      </c>
      <c r="P835" s="11" t="s">
        <v>52</v>
      </c>
      <c r="Q835" s="12"/>
    </row>
    <row r="836" customFormat="false" ht="15" hidden="false" customHeight="false" outlineLevel="0" collapsed="false">
      <c r="A836" s="11" t="s">
        <v>3743</v>
      </c>
      <c r="B836" s="11" t="s">
        <v>18</v>
      </c>
      <c r="C836" s="11" t="s">
        <v>3714</v>
      </c>
      <c r="D836" s="12" t="s">
        <v>3744</v>
      </c>
      <c r="E836" s="12" t="s">
        <v>3716</v>
      </c>
      <c r="F836" s="12" t="s">
        <v>3745</v>
      </c>
      <c r="G836" s="11" t="s">
        <v>2098</v>
      </c>
      <c r="H836" s="11" t="s">
        <v>4</v>
      </c>
      <c r="I836" s="13" t="n">
        <v>1</v>
      </c>
      <c r="J836" s="11" t="s">
        <v>49</v>
      </c>
      <c r="K836" s="12" t="s">
        <v>3746</v>
      </c>
      <c r="L836" s="12"/>
      <c r="M836" s="11" t="s">
        <v>50</v>
      </c>
      <c r="N836" s="12" t="s">
        <v>51</v>
      </c>
      <c r="O836" s="11" t="s">
        <v>27</v>
      </c>
      <c r="P836" s="11" t="s">
        <v>52</v>
      </c>
      <c r="Q836" s="12"/>
    </row>
    <row r="837" customFormat="false" ht="15" hidden="false" customHeight="false" outlineLevel="0" collapsed="false">
      <c r="A837" s="11" t="s">
        <v>3747</v>
      </c>
      <c r="B837" s="11" t="s">
        <v>18</v>
      </c>
      <c r="C837" s="11" t="s">
        <v>3714</v>
      </c>
      <c r="D837" s="12" t="s">
        <v>3748</v>
      </c>
      <c r="E837" s="12" t="s">
        <v>3716</v>
      </c>
      <c r="F837" s="12" t="s">
        <v>3749</v>
      </c>
      <c r="G837" s="11" t="s">
        <v>2098</v>
      </c>
      <c r="H837" s="11" t="s">
        <v>4</v>
      </c>
      <c r="I837" s="13" t="n">
        <v>1</v>
      </c>
      <c r="J837" s="11" t="s">
        <v>49</v>
      </c>
      <c r="K837" s="12" t="s">
        <v>3750</v>
      </c>
      <c r="L837" s="12"/>
      <c r="M837" s="11" t="s">
        <v>50</v>
      </c>
      <c r="N837" s="12" t="s">
        <v>51</v>
      </c>
      <c r="O837" s="11" t="s">
        <v>27</v>
      </c>
      <c r="P837" s="11" t="s">
        <v>52</v>
      </c>
      <c r="Q837" s="12"/>
    </row>
    <row r="838" customFormat="false" ht="22.35" hidden="false" customHeight="false" outlineLevel="0" collapsed="false">
      <c r="A838" s="11" t="s">
        <v>3751</v>
      </c>
      <c r="B838" s="11" t="s">
        <v>18</v>
      </c>
      <c r="C838" s="11" t="s">
        <v>3714</v>
      </c>
      <c r="D838" s="12" t="s">
        <v>3752</v>
      </c>
      <c r="E838" s="12" t="s">
        <v>3716</v>
      </c>
      <c r="F838" s="12" t="s">
        <v>3753</v>
      </c>
      <c r="G838" s="11" t="s">
        <v>2098</v>
      </c>
      <c r="H838" s="11" t="s">
        <v>4</v>
      </c>
      <c r="I838" s="13" t="n">
        <v>0.666666666666667</v>
      </c>
      <c r="J838" s="11" t="s">
        <v>49</v>
      </c>
      <c r="K838" s="12" t="s">
        <v>3754</v>
      </c>
      <c r="L838" s="12" t="s">
        <v>3755</v>
      </c>
      <c r="M838" s="11" t="s">
        <v>50</v>
      </c>
      <c r="N838" s="12" t="s">
        <v>51</v>
      </c>
      <c r="O838" s="11" t="s">
        <v>27</v>
      </c>
      <c r="P838" s="11" t="s">
        <v>52</v>
      </c>
      <c r="Q838" s="12"/>
    </row>
    <row r="839" customFormat="false" ht="22.35" hidden="false" customHeight="false" outlineLevel="0" collapsed="false">
      <c r="A839" s="11" t="s">
        <v>3756</v>
      </c>
      <c r="B839" s="11" t="s">
        <v>18</v>
      </c>
      <c r="C839" s="11" t="s">
        <v>3757</v>
      </c>
      <c r="D839" s="12" t="s">
        <v>3758</v>
      </c>
      <c r="E839" s="12" t="s">
        <v>3759</v>
      </c>
      <c r="F839" s="12" t="s">
        <v>3760</v>
      </c>
      <c r="G839" s="11" t="s">
        <v>2098</v>
      </c>
      <c r="H839" s="11" t="s">
        <v>5</v>
      </c>
      <c r="I839" s="13" t="n">
        <v>0.333333333333333</v>
      </c>
      <c r="J839" s="11" t="s">
        <v>49</v>
      </c>
      <c r="K839" s="12" t="s">
        <v>1225</v>
      </c>
      <c r="L839" s="12" t="s">
        <v>3761</v>
      </c>
      <c r="M839" s="11" t="s">
        <v>50</v>
      </c>
      <c r="N839" s="12" t="s">
        <v>3762</v>
      </c>
      <c r="O839" s="11" t="s">
        <v>25</v>
      </c>
      <c r="P839" s="11" t="s">
        <v>52</v>
      </c>
      <c r="Q839" s="12"/>
    </row>
    <row r="840" customFormat="false" ht="22.35" hidden="false" customHeight="false" outlineLevel="0" collapsed="false">
      <c r="A840" s="11" t="s">
        <v>3763</v>
      </c>
      <c r="B840" s="11" t="s">
        <v>18</v>
      </c>
      <c r="C840" s="11" t="s">
        <v>3757</v>
      </c>
      <c r="D840" s="12" t="s">
        <v>3764</v>
      </c>
      <c r="E840" s="12" t="s">
        <v>3759</v>
      </c>
      <c r="F840" s="12" t="s">
        <v>3765</v>
      </c>
      <c r="G840" s="11" t="s">
        <v>2098</v>
      </c>
      <c r="H840" s="11" t="s">
        <v>5</v>
      </c>
      <c r="I840" s="13" t="n">
        <v>0.545454545454545</v>
      </c>
      <c r="J840" s="11" t="s">
        <v>49</v>
      </c>
      <c r="K840" s="12" t="s">
        <v>3766</v>
      </c>
      <c r="L840" s="12" t="s">
        <v>3767</v>
      </c>
      <c r="M840" s="11" t="s">
        <v>50</v>
      </c>
      <c r="N840" s="12" t="s">
        <v>3762</v>
      </c>
      <c r="O840" s="11" t="s">
        <v>25</v>
      </c>
      <c r="P840" s="11" t="s">
        <v>52</v>
      </c>
      <c r="Q840" s="12"/>
    </row>
    <row r="841" customFormat="false" ht="15" hidden="false" customHeight="false" outlineLevel="0" collapsed="false">
      <c r="A841" s="11" t="s">
        <v>3768</v>
      </c>
      <c r="B841" s="11" t="s">
        <v>18</v>
      </c>
      <c r="C841" s="11" t="s">
        <v>3757</v>
      </c>
      <c r="D841" s="12" t="s">
        <v>3769</v>
      </c>
      <c r="E841" s="12" t="s">
        <v>3759</v>
      </c>
      <c r="F841" s="12" t="s">
        <v>3770</v>
      </c>
      <c r="G841" s="11" t="s">
        <v>2098</v>
      </c>
      <c r="H841" s="11" t="s">
        <v>4</v>
      </c>
      <c r="I841" s="13" t="n">
        <v>1</v>
      </c>
      <c r="J841" s="11" t="s">
        <v>49</v>
      </c>
      <c r="K841" s="12" t="s">
        <v>3766</v>
      </c>
      <c r="L841" s="12"/>
      <c r="M841" s="11" t="s">
        <v>50</v>
      </c>
      <c r="N841" s="12" t="s">
        <v>51</v>
      </c>
      <c r="O841" s="11" t="s">
        <v>27</v>
      </c>
      <c r="P841" s="11" t="s">
        <v>52</v>
      </c>
      <c r="Q841" s="12"/>
    </row>
    <row r="842" customFormat="false" ht="22.35" hidden="false" customHeight="false" outlineLevel="0" collapsed="false">
      <c r="A842" s="11" t="s">
        <v>3771</v>
      </c>
      <c r="B842" s="11" t="s">
        <v>18</v>
      </c>
      <c r="C842" s="11" t="s">
        <v>3757</v>
      </c>
      <c r="D842" s="12" t="s">
        <v>3772</v>
      </c>
      <c r="E842" s="12" t="s">
        <v>3759</v>
      </c>
      <c r="F842" s="12" t="s">
        <v>3773</v>
      </c>
      <c r="G842" s="11" t="s">
        <v>2098</v>
      </c>
      <c r="H842" s="11" t="s">
        <v>4</v>
      </c>
      <c r="I842" s="13" t="n">
        <v>1</v>
      </c>
      <c r="J842" s="11" t="s">
        <v>49</v>
      </c>
      <c r="K842" s="12" t="s">
        <v>3774</v>
      </c>
      <c r="L842" s="12"/>
      <c r="M842" s="11" t="s">
        <v>50</v>
      </c>
      <c r="N842" s="12" t="s">
        <v>51</v>
      </c>
      <c r="O842" s="11" t="s">
        <v>27</v>
      </c>
      <c r="P842" s="11" t="s">
        <v>52</v>
      </c>
      <c r="Q842" s="12"/>
    </row>
    <row r="843" customFormat="false" ht="15" hidden="false" customHeight="false" outlineLevel="0" collapsed="false">
      <c r="A843" s="11" t="s">
        <v>3775</v>
      </c>
      <c r="B843" s="11" t="s">
        <v>18</v>
      </c>
      <c r="C843" s="11" t="s">
        <v>3757</v>
      </c>
      <c r="D843" s="12" t="s">
        <v>3776</v>
      </c>
      <c r="E843" s="12" t="s">
        <v>3759</v>
      </c>
      <c r="F843" s="12" t="s">
        <v>3777</v>
      </c>
      <c r="G843" s="11" t="s">
        <v>2098</v>
      </c>
      <c r="H843" s="11" t="s">
        <v>4</v>
      </c>
      <c r="I843" s="13" t="n">
        <v>0.833333333333333</v>
      </c>
      <c r="J843" s="11" t="s">
        <v>49</v>
      </c>
      <c r="K843" s="12" t="s">
        <v>3778</v>
      </c>
      <c r="L843" s="12" t="s">
        <v>3779</v>
      </c>
      <c r="M843" s="11" t="s">
        <v>50</v>
      </c>
      <c r="N843" s="12" t="s">
        <v>51</v>
      </c>
      <c r="O843" s="11" t="s">
        <v>27</v>
      </c>
      <c r="P843" s="11" t="s">
        <v>52</v>
      </c>
      <c r="Q843" s="12"/>
    </row>
    <row r="844" customFormat="false" ht="15" hidden="false" customHeight="false" outlineLevel="0" collapsed="false">
      <c r="A844" s="11" t="s">
        <v>3780</v>
      </c>
      <c r="B844" s="11" t="s">
        <v>18</v>
      </c>
      <c r="C844" s="11" t="s">
        <v>3757</v>
      </c>
      <c r="D844" s="12" t="s">
        <v>3781</v>
      </c>
      <c r="E844" s="12" t="s">
        <v>3759</v>
      </c>
      <c r="F844" s="12" t="s">
        <v>3782</v>
      </c>
      <c r="G844" s="11" t="s">
        <v>2098</v>
      </c>
      <c r="H844" s="11" t="s">
        <v>4</v>
      </c>
      <c r="I844" s="13" t="n">
        <v>0.875</v>
      </c>
      <c r="J844" s="11" t="s">
        <v>49</v>
      </c>
      <c r="K844" s="12" t="s">
        <v>3783</v>
      </c>
      <c r="L844" s="12" t="s">
        <v>3784</v>
      </c>
      <c r="M844" s="11" t="s">
        <v>50</v>
      </c>
      <c r="N844" s="12" t="s">
        <v>51</v>
      </c>
      <c r="O844" s="11" t="s">
        <v>27</v>
      </c>
      <c r="P844" s="11" t="s">
        <v>52</v>
      </c>
      <c r="Q844" s="12"/>
    </row>
    <row r="845" customFormat="false" ht="22.35" hidden="false" customHeight="false" outlineLevel="0" collapsed="false">
      <c r="A845" s="11" t="s">
        <v>3785</v>
      </c>
      <c r="B845" s="11" t="s">
        <v>18</v>
      </c>
      <c r="C845" s="11" t="s">
        <v>3786</v>
      </c>
      <c r="D845" s="12" t="s">
        <v>3787</v>
      </c>
      <c r="E845" s="12" t="s">
        <v>3788</v>
      </c>
      <c r="F845" s="12" t="s">
        <v>3789</v>
      </c>
      <c r="G845" s="11" t="s">
        <v>2098</v>
      </c>
      <c r="H845" s="11" t="s">
        <v>5</v>
      </c>
      <c r="I845" s="13" t="n">
        <v>0.285714285714286</v>
      </c>
      <c r="J845" s="11" t="s">
        <v>49</v>
      </c>
      <c r="K845" s="12" t="s">
        <v>1225</v>
      </c>
      <c r="L845" s="12" t="s">
        <v>3790</v>
      </c>
      <c r="M845" s="11" t="s">
        <v>50</v>
      </c>
      <c r="N845" s="12" t="s">
        <v>1189</v>
      </c>
      <c r="O845" s="11" t="s">
        <v>25</v>
      </c>
      <c r="P845" s="11" t="s">
        <v>52</v>
      </c>
      <c r="Q845" s="12"/>
    </row>
    <row r="846" customFormat="false" ht="22.35" hidden="false" customHeight="false" outlineLevel="0" collapsed="false">
      <c r="A846" s="11" t="s">
        <v>3791</v>
      </c>
      <c r="B846" s="11" t="s">
        <v>18</v>
      </c>
      <c r="C846" s="11" t="s">
        <v>3786</v>
      </c>
      <c r="D846" s="12" t="s">
        <v>3792</v>
      </c>
      <c r="E846" s="12" t="s">
        <v>3788</v>
      </c>
      <c r="F846" s="12" t="s">
        <v>3793</v>
      </c>
      <c r="G846" s="11" t="s">
        <v>2098</v>
      </c>
      <c r="H846" s="11" t="s">
        <v>5</v>
      </c>
      <c r="I846" s="13" t="n">
        <v>0.3</v>
      </c>
      <c r="J846" s="11" t="s">
        <v>49</v>
      </c>
      <c r="K846" s="12" t="s">
        <v>1249</v>
      </c>
      <c r="L846" s="12" t="s">
        <v>3794</v>
      </c>
      <c r="M846" s="11" t="s">
        <v>50</v>
      </c>
      <c r="N846" s="12" t="s">
        <v>1189</v>
      </c>
      <c r="O846" s="11" t="s">
        <v>25</v>
      </c>
      <c r="P846" s="11" t="s">
        <v>52</v>
      </c>
      <c r="Q846" s="12"/>
    </row>
    <row r="847" customFormat="false" ht="22.35" hidden="false" customHeight="false" outlineLevel="0" collapsed="false">
      <c r="A847" s="11" t="s">
        <v>3795</v>
      </c>
      <c r="B847" s="11" t="s">
        <v>18</v>
      </c>
      <c r="C847" s="11" t="s">
        <v>3786</v>
      </c>
      <c r="D847" s="12" t="s">
        <v>3796</v>
      </c>
      <c r="E847" s="12" t="s">
        <v>3788</v>
      </c>
      <c r="F847" s="12" t="s">
        <v>3797</v>
      </c>
      <c r="G847" s="11" t="s">
        <v>2098</v>
      </c>
      <c r="H847" s="11" t="s">
        <v>5</v>
      </c>
      <c r="I847" s="13" t="n">
        <v>0.25</v>
      </c>
      <c r="J847" s="11" t="s">
        <v>49</v>
      </c>
      <c r="K847" s="12"/>
      <c r="L847" s="12" t="s">
        <v>3798</v>
      </c>
      <c r="M847" s="11" t="s">
        <v>50</v>
      </c>
      <c r="N847" s="12" t="s">
        <v>1189</v>
      </c>
      <c r="O847" s="11" t="s">
        <v>25</v>
      </c>
      <c r="P847" s="11" t="s">
        <v>52</v>
      </c>
      <c r="Q847" s="12"/>
    </row>
    <row r="848" customFormat="false" ht="15" hidden="false" customHeight="false" outlineLevel="0" collapsed="false">
      <c r="A848" s="11" t="s">
        <v>3799</v>
      </c>
      <c r="B848" s="11" t="s">
        <v>18</v>
      </c>
      <c r="C848" s="11" t="s">
        <v>3786</v>
      </c>
      <c r="D848" s="12" t="s">
        <v>3800</v>
      </c>
      <c r="E848" s="12" t="s">
        <v>3788</v>
      </c>
      <c r="F848" s="12" t="s">
        <v>3801</v>
      </c>
      <c r="G848" s="11" t="s">
        <v>2098</v>
      </c>
      <c r="H848" s="11" t="s">
        <v>4</v>
      </c>
      <c r="I848" s="13" t="n">
        <v>0.714285714285714</v>
      </c>
      <c r="J848" s="11" t="s">
        <v>49</v>
      </c>
      <c r="K848" s="12" t="s">
        <v>3802</v>
      </c>
      <c r="L848" s="12" t="s">
        <v>3803</v>
      </c>
      <c r="M848" s="11" t="s">
        <v>50</v>
      </c>
      <c r="N848" s="12" t="s">
        <v>51</v>
      </c>
      <c r="O848" s="11" t="s">
        <v>27</v>
      </c>
      <c r="P848" s="11" t="s">
        <v>52</v>
      </c>
      <c r="Q848" s="12"/>
    </row>
    <row r="849" customFormat="false" ht="32.8" hidden="false" customHeight="false" outlineLevel="0" collapsed="false">
      <c r="A849" s="11" t="s">
        <v>3804</v>
      </c>
      <c r="B849" s="11" t="s">
        <v>18</v>
      </c>
      <c r="C849" s="11" t="s">
        <v>3786</v>
      </c>
      <c r="D849" s="12" t="s">
        <v>3805</v>
      </c>
      <c r="E849" s="12" t="s">
        <v>3788</v>
      </c>
      <c r="F849" s="12" t="s">
        <v>3806</v>
      </c>
      <c r="G849" s="11" t="s">
        <v>2098</v>
      </c>
      <c r="H849" s="11" t="s">
        <v>5</v>
      </c>
      <c r="I849" s="13" t="n">
        <v>0.5</v>
      </c>
      <c r="J849" s="11" t="s">
        <v>49</v>
      </c>
      <c r="K849" s="12" t="s">
        <v>1211</v>
      </c>
      <c r="L849" s="12" t="s">
        <v>3807</v>
      </c>
      <c r="M849" s="11" t="s">
        <v>50</v>
      </c>
      <c r="N849" s="12" t="s">
        <v>1189</v>
      </c>
      <c r="O849" s="11" t="s">
        <v>25</v>
      </c>
      <c r="P849" s="11" t="s">
        <v>52</v>
      </c>
      <c r="Q849" s="12"/>
    </row>
    <row r="850" customFormat="false" ht="22.35" hidden="false" customHeight="false" outlineLevel="0" collapsed="false">
      <c r="A850" s="11" t="s">
        <v>3808</v>
      </c>
      <c r="B850" s="11" t="s">
        <v>18</v>
      </c>
      <c r="C850" s="11" t="s">
        <v>3786</v>
      </c>
      <c r="D850" s="12" t="s">
        <v>3809</v>
      </c>
      <c r="E850" s="12" t="s">
        <v>3788</v>
      </c>
      <c r="F850" s="12" t="s">
        <v>3810</v>
      </c>
      <c r="G850" s="11" t="s">
        <v>2098</v>
      </c>
      <c r="H850" s="11" t="s">
        <v>8</v>
      </c>
      <c r="I850" s="13" t="n">
        <v>0.5</v>
      </c>
      <c r="J850" s="11" t="s">
        <v>49</v>
      </c>
      <c r="K850" s="12" t="s">
        <v>1211</v>
      </c>
      <c r="L850" s="12" t="s">
        <v>3811</v>
      </c>
      <c r="M850" s="11" t="s">
        <v>50</v>
      </c>
      <c r="N850" s="12" t="s">
        <v>51</v>
      </c>
      <c r="O850" s="11" t="s">
        <v>28</v>
      </c>
      <c r="P850" s="11" t="s">
        <v>52</v>
      </c>
      <c r="Q850" s="12" t="s">
        <v>3812</v>
      </c>
    </row>
    <row r="851" customFormat="false" ht="22.35" hidden="false" customHeight="false" outlineLevel="0" collapsed="false">
      <c r="A851" s="11" t="s">
        <v>3813</v>
      </c>
      <c r="B851" s="11" t="s">
        <v>18</v>
      </c>
      <c r="C851" s="11" t="s">
        <v>3786</v>
      </c>
      <c r="D851" s="12" t="s">
        <v>3814</v>
      </c>
      <c r="E851" s="12" t="s">
        <v>3788</v>
      </c>
      <c r="F851" s="12" t="s">
        <v>3815</v>
      </c>
      <c r="G851" s="11" t="s">
        <v>2098</v>
      </c>
      <c r="H851" s="11" t="s">
        <v>5</v>
      </c>
      <c r="I851" s="13" t="n">
        <v>0.5</v>
      </c>
      <c r="J851" s="11" t="s">
        <v>49</v>
      </c>
      <c r="K851" s="12" t="s">
        <v>1225</v>
      </c>
      <c r="L851" s="12" t="s">
        <v>3816</v>
      </c>
      <c r="M851" s="11" t="s">
        <v>50</v>
      </c>
      <c r="N851" s="12" t="s">
        <v>1189</v>
      </c>
      <c r="O851" s="11" t="s">
        <v>25</v>
      </c>
      <c r="P851" s="11" t="s">
        <v>52</v>
      </c>
      <c r="Q851" s="12"/>
    </row>
    <row r="852" customFormat="false" ht="22.35" hidden="false" customHeight="false" outlineLevel="0" collapsed="false">
      <c r="A852" s="11" t="s">
        <v>3817</v>
      </c>
      <c r="B852" s="11" t="s">
        <v>18</v>
      </c>
      <c r="C852" s="11" t="s">
        <v>3818</v>
      </c>
      <c r="D852" s="12" t="s">
        <v>3819</v>
      </c>
      <c r="E852" s="12" t="s">
        <v>3820</v>
      </c>
      <c r="F852" s="12" t="s">
        <v>3821</v>
      </c>
      <c r="G852" s="11" t="s">
        <v>2098</v>
      </c>
      <c r="H852" s="11" t="s">
        <v>4</v>
      </c>
      <c r="I852" s="13" t="n">
        <v>0.714285714285714</v>
      </c>
      <c r="J852" s="11" t="s">
        <v>49</v>
      </c>
      <c r="K852" s="12" t="s">
        <v>3711</v>
      </c>
      <c r="L852" s="12" t="s">
        <v>3822</v>
      </c>
      <c r="M852" s="11" t="s">
        <v>50</v>
      </c>
      <c r="N852" s="12" t="s">
        <v>51</v>
      </c>
      <c r="O852" s="11" t="s">
        <v>27</v>
      </c>
      <c r="P852" s="11" t="s">
        <v>52</v>
      </c>
      <c r="Q852" s="12"/>
    </row>
    <row r="853" customFormat="false" ht="22.35" hidden="false" customHeight="false" outlineLevel="0" collapsed="false">
      <c r="A853" s="11" t="s">
        <v>3823</v>
      </c>
      <c r="B853" s="11" t="s">
        <v>18</v>
      </c>
      <c r="C853" s="11" t="s">
        <v>3818</v>
      </c>
      <c r="D853" s="12" t="s">
        <v>3824</v>
      </c>
      <c r="E853" s="12" t="s">
        <v>3820</v>
      </c>
      <c r="F853" s="12" t="s">
        <v>3825</v>
      </c>
      <c r="G853" s="11" t="s">
        <v>2098</v>
      </c>
      <c r="H853" s="11" t="s">
        <v>4</v>
      </c>
      <c r="I853" s="13" t="n">
        <v>0.555555555555556</v>
      </c>
      <c r="J853" s="11" t="s">
        <v>49</v>
      </c>
      <c r="K853" s="12" t="s">
        <v>3826</v>
      </c>
      <c r="L853" s="12" t="s">
        <v>3827</v>
      </c>
      <c r="M853" s="11" t="s">
        <v>50</v>
      </c>
      <c r="N853" s="12" t="s">
        <v>51</v>
      </c>
      <c r="O853" s="11" t="s">
        <v>27</v>
      </c>
      <c r="P853" s="11" t="s">
        <v>52</v>
      </c>
      <c r="Q853" s="12"/>
    </row>
    <row r="854" customFormat="false" ht="22.35" hidden="false" customHeight="false" outlineLevel="0" collapsed="false">
      <c r="A854" s="11" t="s">
        <v>3828</v>
      </c>
      <c r="B854" s="11" t="s">
        <v>18</v>
      </c>
      <c r="C854" s="11" t="s">
        <v>3818</v>
      </c>
      <c r="D854" s="12" t="s">
        <v>3829</v>
      </c>
      <c r="E854" s="12" t="s">
        <v>3820</v>
      </c>
      <c r="F854" s="12" t="s">
        <v>3830</v>
      </c>
      <c r="G854" s="11" t="s">
        <v>2098</v>
      </c>
      <c r="H854" s="11" t="s">
        <v>5</v>
      </c>
      <c r="I854" s="13" t="n">
        <v>0.333333333333333</v>
      </c>
      <c r="J854" s="11" t="s">
        <v>49</v>
      </c>
      <c r="K854" s="12"/>
      <c r="L854" s="12" t="s">
        <v>3831</v>
      </c>
      <c r="M854" s="11" t="s">
        <v>50</v>
      </c>
      <c r="N854" s="12" t="s">
        <v>1189</v>
      </c>
      <c r="O854" s="11" t="s">
        <v>25</v>
      </c>
      <c r="P854" s="11" t="s">
        <v>52</v>
      </c>
      <c r="Q854" s="12"/>
    </row>
    <row r="855" customFormat="false" ht="15" hidden="false" customHeight="false" outlineLevel="0" collapsed="false">
      <c r="A855" s="11" t="s">
        <v>3832</v>
      </c>
      <c r="B855" s="11" t="s">
        <v>18</v>
      </c>
      <c r="C855" s="11" t="s">
        <v>3818</v>
      </c>
      <c r="D855" s="12" t="s">
        <v>3833</v>
      </c>
      <c r="E855" s="12" t="s">
        <v>3820</v>
      </c>
      <c r="F855" s="12" t="s">
        <v>3834</v>
      </c>
      <c r="G855" s="11" t="s">
        <v>2098</v>
      </c>
      <c r="H855" s="11" t="s">
        <v>4</v>
      </c>
      <c r="I855" s="13" t="n">
        <v>0.6</v>
      </c>
      <c r="J855" s="11" t="s">
        <v>49</v>
      </c>
      <c r="K855" s="12" t="s">
        <v>1249</v>
      </c>
      <c r="L855" s="12" t="s">
        <v>3835</v>
      </c>
      <c r="M855" s="11" t="s">
        <v>50</v>
      </c>
      <c r="N855" s="12" t="s">
        <v>51</v>
      </c>
      <c r="O855" s="11" t="s">
        <v>27</v>
      </c>
      <c r="P855" s="11" t="s">
        <v>52</v>
      </c>
      <c r="Q855" s="12"/>
    </row>
    <row r="856" customFormat="false" ht="22.35" hidden="false" customHeight="false" outlineLevel="0" collapsed="false">
      <c r="A856" s="11" t="s">
        <v>3836</v>
      </c>
      <c r="B856" s="11" t="s">
        <v>18</v>
      </c>
      <c r="C856" s="11" t="s">
        <v>3818</v>
      </c>
      <c r="D856" s="12" t="s">
        <v>3837</v>
      </c>
      <c r="E856" s="12" t="s">
        <v>3820</v>
      </c>
      <c r="F856" s="12" t="s">
        <v>3838</v>
      </c>
      <c r="G856" s="11" t="s">
        <v>2098</v>
      </c>
      <c r="H856" s="11" t="s">
        <v>5</v>
      </c>
      <c r="I856" s="13" t="n">
        <v>0.416666666666667</v>
      </c>
      <c r="J856" s="11" t="s">
        <v>49</v>
      </c>
      <c r="K856" s="12" t="s">
        <v>3711</v>
      </c>
      <c r="L856" s="12" t="s">
        <v>3839</v>
      </c>
      <c r="M856" s="11" t="s">
        <v>50</v>
      </c>
      <c r="N856" s="12" t="s">
        <v>1189</v>
      </c>
      <c r="O856" s="11" t="s">
        <v>25</v>
      </c>
      <c r="P856" s="11" t="s">
        <v>52</v>
      </c>
      <c r="Q856" s="12"/>
    </row>
    <row r="857" customFormat="false" ht="32.8" hidden="false" customHeight="false" outlineLevel="0" collapsed="false">
      <c r="A857" s="11" t="s">
        <v>3840</v>
      </c>
      <c r="B857" s="11" t="s">
        <v>18</v>
      </c>
      <c r="C857" s="11" t="s">
        <v>3818</v>
      </c>
      <c r="D857" s="12" t="s">
        <v>3841</v>
      </c>
      <c r="E857" s="12" t="s">
        <v>3820</v>
      </c>
      <c r="F857" s="12" t="s">
        <v>3842</v>
      </c>
      <c r="G857" s="11" t="s">
        <v>2098</v>
      </c>
      <c r="H857" s="11" t="s">
        <v>5</v>
      </c>
      <c r="I857" s="13" t="n">
        <v>0.357142857142857</v>
      </c>
      <c r="J857" s="11" t="s">
        <v>49</v>
      </c>
      <c r="K857" s="12" t="s">
        <v>3711</v>
      </c>
      <c r="L857" s="12" t="s">
        <v>3843</v>
      </c>
      <c r="M857" s="11" t="s">
        <v>50</v>
      </c>
      <c r="N857" s="12" t="s">
        <v>1189</v>
      </c>
      <c r="O857" s="11" t="s">
        <v>25</v>
      </c>
      <c r="P857" s="11" t="s">
        <v>52</v>
      </c>
      <c r="Q857" s="12"/>
    </row>
    <row r="858" customFormat="false" ht="15" hidden="false" customHeight="false" outlineLevel="0" collapsed="false">
      <c r="A858" s="11" t="s">
        <v>3844</v>
      </c>
      <c r="B858" s="11" t="s">
        <v>19</v>
      </c>
      <c r="C858" s="11" t="s">
        <v>3845</v>
      </c>
      <c r="D858" s="12" t="s">
        <v>3846</v>
      </c>
      <c r="E858" s="12" t="s">
        <v>3847</v>
      </c>
      <c r="F858" s="12" t="s">
        <v>3846</v>
      </c>
      <c r="G858" s="11" t="s">
        <v>2098</v>
      </c>
      <c r="H858" s="11" t="s">
        <v>4</v>
      </c>
      <c r="I858" s="13"/>
      <c r="J858" s="11" t="s">
        <v>3848</v>
      </c>
      <c r="K858" s="12" t="s">
        <v>3849</v>
      </c>
      <c r="L858" s="12"/>
      <c r="M858" s="11" t="s">
        <v>50</v>
      </c>
      <c r="N858" s="12" t="s">
        <v>51</v>
      </c>
      <c r="O858" s="11" t="s">
        <v>27</v>
      </c>
      <c r="P858" s="11" t="s">
        <v>52</v>
      </c>
      <c r="Q858" s="12"/>
    </row>
    <row r="859" customFormat="false" ht="15" hidden="false" customHeight="false" outlineLevel="0" collapsed="false">
      <c r="A859" s="11" t="s">
        <v>3850</v>
      </c>
      <c r="B859" s="11" t="s">
        <v>19</v>
      </c>
      <c r="C859" s="11" t="s">
        <v>3845</v>
      </c>
      <c r="D859" s="12" t="s">
        <v>3851</v>
      </c>
      <c r="E859" s="12" t="s">
        <v>3847</v>
      </c>
      <c r="F859" s="12" t="s">
        <v>3851</v>
      </c>
      <c r="G859" s="11" t="s">
        <v>2098</v>
      </c>
      <c r="H859" s="11" t="s">
        <v>4</v>
      </c>
      <c r="I859" s="13"/>
      <c r="J859" s="11" t="s">
        <v>3848</v>
      </c>
      <c r="K859" s="12" t="s">
        <v>3852</v>
      </c>
      <c r="L859" s="12"/>
      <c r="M859" s="11" t="s">
        <v>50</v>
      </c>
      <c r="N859" s="12" t="s">
        <v>51</v>
      </c>
      <c r="O859" s="11" t="s">
        <v>27</v>
      </c>
      <c r="P859" s="11" t="s">
        <v>52</v>
      </c>
      <c r="Q859" s="12"/>
    </row>
    <row r="860" customFormat="false" ht="22.35" hidden="false" customHeight="false" outlineLevel="0" collapsed="false">
      <c r="A860" s="11" t="s">
        <v>3853</v>
      </c>
      <c r="B860" s="11" t="s">
        <v>19</v>
      </c>
      <c r="C860" s="11" t="s">
        <v>3845</v>
      </c>
      <c r="D860" s="12" t="s">
        <v>3854</v>
      </c>
      <c r="E860" s="12" t="s">
        <v>3847</v>
      </c>
      <c r="F860" s="12" t="s">
        <v>3854</v>
      </c>
      <c r="G860" s="11" t="s">
        <v>2098</v>
      </c>
      <c r="H860" s="11" t="s">
        <v>4</v>
      </c>
      <c r="I860" s="13"/>
      <c r="J860" s="11" t="s">
        <v>3848</v>
      </c>
      <c r="K860" s="12" t="s">
        <v>3852</v>
      </c>
      <c r="L860" s="12"/>
      <c r="M860" s="11" t="s">
        <v>50</v>
      </c>
      <c r="N860" s="12" t="s">
        <v>51</v>
      </c>
      <c r="O860" s="11" t="s">
        <v>27</v>
      </c>
      <c r="P860" s="11" t="s">
        <v>52</v>
      </c>
      <c r="Q860" s="12"/>
    </row>
    <row r="861" customFormat="false" ht="22.35" hidden="false" customHeight="false" outlineLevel="0" collapsed="false">
      <c r="A861" s="11" t="s">
        <v>3855</v>
      </c>
      <c r="B861" s="11" t="s">
        <v>19</v>
      </c>
      <c r="C861" s="11" t="s">
        <v>3845</v>
      </c>
      <c r="D861" s="12" t="s">
        <v>3856</v>
      </c>
      <c r="E861" s="12" t="s">
        <v>3847</v>
      </c>
      <c r="F861" s="12" t="s">
        <v>3856</v>
      </c>
      <c r="G861" s="11" t="s">
        <v>2098</v>
      </c>
      <c r="H861" s="11" t="s">
        <v>4</v>
      </c>
      <c r="I861" s="13"/>
      <c r="J861" s="11" t="s">
        <v>3848</v>
      </c>
      <c r="K861" s="12" t="s">
        <v>3857</v>
      </c>
      <c r="L861" s="12"/>
      <c r="M861" s="11" t="s">
        <v>50</v>
      </c>
      <c r="N861" s="12" t="s">
        <v>51</v>
      </c>
      <c r="O861" s="11" t="s">
        <v>27</v>
      </c>
      <c r="P861" s="11" t="s">
        <v>52</v>
      </c>
      <c r="Q861" s="12"/>
    </row>
    <row r="862" customFormat="false" ht="15" hidden="false" customHeight="false" outlineLevel="0" collapsed="false">
      <c r="A862" s="11" t="s">
        <v>3858</v>
      </c>
      <c r="B862" s="11" t="s">
        <v>19</v>
      </c>
      <c r="C862" s="11" t="s">
        <v>3845</v>
      </c>
      <c r="D862" s="12" t="s">
        <v>3859</v>
      </c>
      <c r="E862" s="12" t="s">
        <v>3847</v>
      </c>
      <c r="F862" s="12" t="s">
        <v>3859</v>
      </c>
      <c r="G862" s="11" t="s">
        <v>2098</v>
      </c>
      <c r="H862" s="11" t="s">
        <v>4</v>
      </c>
      <c r="I862" s="13"/>
      <c r="J862" s="11" t="s">
        <v>3848</v>
      </c>
      <c r="K862" s="12" t="s">
        <v>3860</v>
      </c>
      <c r="L862" s="12"/>
      <c r="M862" s="11" t="s">
        <v>50</v>
      </c>
      <c r="N862" s="12" t="s">
        <v>51</v>
      </c>
      <c r="O862" s="11" t="s">
        <v>27</v>
      </c>
      <c r="P862" s="11" t="s">
        <v>52</v>
      </c>
      <c r="Q862" s="12"/>
    </row>
    <row r="863" customFormat="false" ht="15" hidden="false" customHeight="false" outlineLevel="0" collapsed="false">
      <c r="A863" s="11" t="s">
        <v>3861</v>
      </c>
      <c r="B863" s="11" t="s">
        <v>19</v>
      </c>
      <c r="C863" s="11" t="s">
        <v>3845</v>
      </c>
      <c r="D863" s="12" t="s">
        <v>3862</v>
      </c>
      <c r="E863" s="12" t="s">
        <v>3847</v>
      </c>
      <c r="F863" s="12" t="s">
        <v>3862</v>
      </c>
      <c r="G863" s="11" t="s">
        <v>2098</v>
      </c>
      <c r="H863" s="11" t="s">
        <v>4</v>
      </c>
      <c r="I863" s="13"/>
      <c r="J863" s="11" t="s">
        <v>3848</v>
      </c>
      <c r="K863" s="12" t="s">
        <v>3860</v>
      </c>
      <c r="L863" s="12"/>
      <c r="M863" s="11" t="s">
        <v>50</v>
      </c>
      <c r="N863" s="12" t="s">
        <v>51</v>
      </c>
      <c r="O863" s="11" t="s">
        <v>27</v>
      </c>
      <c r="P863" s="11" t="s">
        <v>52</v>
      </c>
      <c r="Q863" s="12"/>
    </row>
    <row r="864" customFormat="false" ht="15" hidden="false" customHeight="false" outlineLevel="0" collapsed="false">
      <c r="A864" s="11" t="s">
        <v>3863</v>
      </c>
      <c r="B864" s="11" t="s">
        <v>19</v>
      </c>
      <c r="C864" s="11" t="s">
        <v>3845</v>
      </c>
      <c r="D864" s="12" t="s">
        <v>3864</v>
      </c>
      <c r="E864" s="12" t="s">
        <v>3847</v>
      </c>
      <c r="F864" s="12" t="s">
        <v>3864</v>
      </c>
      <c r="G864" s="11" t="s">
        <v>2098</v>
      </c>
      <c r="H864" s="11" t="s">
        <v>4</v>
      </c>
      <c r="I864" s="13"/>
      <c r="J864" s="11" t="s">
        <v>3848</v>
      </c>
      <c r="K864" s="12" t="s">
        <v>3865</v>
      </c>
      <c r="L864" s="12"/>
      <c r="M864" s="11" t="s">
        <v>50</v>
      </c>
      <c r="N864" s="12" t="s">
        <v>51</v>
      </c>
      <c r="O864" s="11" t="s">
        <v>27</v>
      </c>
      <c r="P864" s="11" t="s">
        <v>52</v>
      </c>
      <c r="Q864" s="12"/>
    </row>
    <row r="865" customFormat="false" ht="15" hidden="false" customHeight="false" outlineLevel="0" collapsed="false">
      <c r="A865" s="11" t="s">
        <v>3866</v>
      </c>
      <c r="B865" s="11" t="s">
        <v>19</v>
      </c>
      <c r="C865" s="11" t="s">
        <v>3845</v>
      </c>
      <c r="D865" s="12" t="s">
        <v>3867</v>
      </c>
      <c r="E865" s="12" t="s">
        <v>3847</v>
      </c>
      <c r="F865" s="12" t="s">
        <v>3867</v>
      </c>
      <c r="G865" s="11" t="s">
        <v>2098</v>
      </c>
      <c r="H865" s="11" t="s">
        <v>4</v>
      </c>
      <c r="I865" s="13"/>
      <c r="J865" s="11" t="s">
        <v>3848</v>
      </c>
      <c r="K865" s="12" t="s">
        <v>3868</v>
      </c>
      <c r="L865" s="12"/>
      <c r="M865" s="11" t="s">
        <v>50</v>
      </c>
      <c r="N865" s="12" t="s">
        <v>51</v>
      </c>
      <c r="O865" s="11" t="s">
        <v>27</v>
      </c>
      <c r="P865" s="11" t="s">
        <v>52</v>
      </c>
      <c r="Q865" s="12"/>
    </row>
    <row r="866" customFormat="false" ht="15" hidden="false" customHeight="false" outlineLevel="0" collapsed="false">
      <c r="A866" s="11" t="s">
        <v>3869</v>
      </c>
      <c r="B866" s="11" t="s">
        <v>19</v>
      </c>
      <c r="C866" s="11" t="s">
        <v>3845</v>
      </c>
      <c r="D866" s="12" t="s">
        <v>3870</v>
      </c>
      <c r="E866" s="12" t="s">
        <v>3847</v>
      </c>
      <c r="F866" s="12" t="s">
        <v>3870</v>
      </c>
      <c r="G866" s="11" t="s">
        <v>2098</v>
      </c>
      <c r="H866" s="11" t="s">
        <v>4</v>
      </c>
      <c r="I866" s="13"/>
      <c r="J866" s="11" t="s">
        <v>3848</v>
      </c>
      <c r="K866" s="12" t="s">
        <v>3871</v>
      </c>
      <c r="L866" s="12"/>
      <c r="M866" s="11" t="s">
        <v>50</v>
      </c>
      <c r="N866" s="12" t="s">
        <v>51</v>
      </c>
      <c r="O866" s="11" t="s">
        <v>27</v>
      </c>
      <c r="P866" s="11" t="s">
        <v>52</v>
      </c>
      <c r="Q866" s="12"/>
    </row>
    <row r="867" customFormat="false" ht="15" hidden="false" customHeight="false" outlineLevel="0" collapsed="false">
      <c r="A867" s="11" t="s">
        <v>3872</v>
      </c>
      <c r="B867" s="11" t="s">
        <v>19</v>
      </c>
      <c r="C867" s="11" t="s">
        <v>3845</v>
      </c>
      <c r="D867" s="12" t="s">
        <v>3873</v>
      </c>
      <c r="E867" s="12" t="s">
        <v>3847</v>
      </c>
      <c r="F867" s="12" t="s">
        <v>3873</v>
      </c>
      <c r="G867" s="11" t="s">
        <v>2098</v>
      </c>
      <c r="H867" s="11" t="s">
        <v>9</v>
      </c>
      <c r="I867" s="13"/>
      <c r="J867" s="11" t="s">
        <v>3848</v>
      </c>
      <c r="K867" s="12" t="s">
        <v>3874</v>
      </c>
      <c r="L867" s="12"/>
      <c r="M867" s="11" t="s">
        <v>1809</v>
      </c>
      <c r="N867" s="12" t="s">
        <v>51</v>
      </c>
      <c r="O867" s="11" t="s">
        <v>28</v>
      </c>
      <c r="P867" s="11" t="s">
        <v>52</v>
      </c>
      <c r="Q867" s="12"/>
    </row>
    <row r="868" customFormat="false" ht="15" hidden="false" customHeight="false" outlineLevel="0" collapsed="false">
      <c r="A868" s="11" t="s">
        <v>3875</v>
      </c>
      <c r="B868" s="11" t="s">
        <v>19</v>
      </c>
      <c r="C868" s="11" t="s">
        <v>3845</v>
      </c>
      <c r="D868" s="12" t="s">
        <v>3876</v>
      </c>
      <c r="E868" s="12" t="s">
        <v>3847</v>
      </c>
      <c r="F868" s="12" t="s">
        <v>3876</v>
      </c>
      <c r="G868" s="11" t="s">
        <v>2098</v>
      </c>
      <c r="H868" s="11" t="s">
        <v>4</v>
      </c>
      <c r="I868" s="13"/>
      <c r="J868" s="11" t="s">
        <v>3848</v>
      </c>
      <c r="K868" s="12" t="s">
        <v>3877</v>
      </c>
      <c r="L868" s="12"/>
      <c r="M868" s="11" t="s">
        <v>50</v>
      </c>
      <c r="N868" s="12" t="s">
        <v>51</v>
      </c>
      <c r="O868" s="11" t="s">
        <v>27</v>
      </c>
      <c r="P868" s="11" t="s">
        <v>52</v>
      </c>
      <c r="Q868" s="12"/>
    </row>
    <row r="869" customFormat="false" ht="15" hidden="false" customHeight="false" outlineLevel="0" collapsed="false">
      <c r="A869" s="11" t="s">
        <v>3878</v>
      </c>
      <c r="B869" s="11" t="s">
        <v>19</v>
      </c>
      <c r="C869" s="11" t="s">
        <v>3845</v>
      </c>
      <c r="D869" s="12" t="s">
        <v>3879</v>
      </c>
      <c r="E869" s="12" t="s">
        <v>3847</v>
      </c>
      <c r="F869" s="12" t="s">
        <v>3879</v>
      </c>
      <c r="G869" s="11" t="s">
        <v>2098</v>
      </c>
      <c r="H869" s="11" t="s">
        <v>9</v>
      </c>
      <c r="I869" s="13"/>
      <c r="J869" s="11" t="s">
        <v>3848</v>
      </c>
      <c r="K869" s="12" t="s">
        <v>3880</v>
      </c>
      <c r="L869" s="12"/>
      <c r="M869" s="11" t="s">
        <v>1809</v>
      </c>
      <c r="N869" s="12" t="s">
        <v>51</v>
      </c>
      <c r="O869" s="11" t="s">
        <v>28</v>
      </c>
      <c r="P869" s="11" t="s">
        <v>52</v>
      </c>
      <c r="Q869" s="12"/>
    </row>
    <row r="870" customFormat="false" ht="15" hidden="false" customHeight="false" outlineLevel="0" collapsed="false">
      <c r="A870" s="11" t="s">
        <v>3881</v>
      </c>
      <c r="B870" s="11" t="s">
        <v>19</v>
      </c>
      <c r="C870" s="11" t="s">
        <v>3845</v>
      </c>
      <c r="D870" s="12" t="s">
        <v>3882</v>
      </c>
      <c r="E870" s="12" t="s">
        <v>3847</v>
      </c>
      <c r="F870" s="12" t="s">
        <v>3882</v>
      </c>
      <c r="G870" s="11" t="s">
        <v>2098</v>
      </c>
      <c r="H870" s="11" t="s">
        <v>9</v>
      </c>
      <c r="I870" s="13"/>
      <c r="J870" s="11" t="s">
        <v>3848</v>
      </c>
      <c r="K870" s="12" t="s">
        <v>3883</v>
      </c>
      <c r="L870" s="12"/>
      <c r="M870" s="11" t="s">
        <v>1809</v>
      </c>
      <c r="N870" s="12" t="s">
        <v>51</v>
      </c>
      <c r="O870" s="11" t="s">
        <v>28</v>
      </c>
      <c r="P870" s="11" t="s">
        <v>52</v>
      </c>
      <c r="Q870" s="12"/>
    </row>
    <row r="871" customFormat="false" ht="15" hidden="false" customHeight="false" outlineLevel="0" collapsed="false">
      <c r="A871" s="11" t="s">
        <v>3884</v>
      </c>
      <c r="B871" s="11" t="s">
        <v>19</v>
      </c>
      <c r="C871" s="11" t="s">
        <v>3845</v>
      </c>
      <c r="D871" s="12" t="s">
        <v>3885</v>
      </c>
      <c r="E871" s="12" t="s">
        <v>3847</v>
      </c>
      <c r="F871" s="12" t="s">
        <v>3885</v>
      </c>
      <c r="G871" s="11" t="s">
        <v>2098</v>
      </c>
      <c r="H871" s="11" t="s">
        <v>4</v>
      </c>
      <c r="I871" s="13"/>
      <c r="J871" s="11" t="s">
        <v>3848</v>
      </c>
      <c r="K871" s="12" t="s">
        <v>3886</v>
      </c>
      <c r="L871" s="12"/>
      <c r="M871" s="11" t="s">
        <v>50</v>
      </c>
      <c r="N871" s="12" t="s">
        <v>51</v>
      </c>
      <c r="O871" s="11" t="s">
        <v>27</v>
      </c>
      <c r="P871" s="11" t="s">
        <v>52</v>
      </c>
      <c r="Q871" s="12"/>
    </row>
    <row r="872" customFormat="false" ht="15" hidden="false" customHeight="false" outlineLevel="0" collapsed="false">
      <c r="A872" s="11" t="s">
        <v>3887</v>
      </c>
      <c r="B872" s="11" t="s">
        <v>19</v>
      </c>
      <c r="C872" s="11" t="s">
        <v>3845</v>
      </c>
      <c r="D872" s="12" t="s">
        <v>3888</v>
      </c>
      <c r="E872" s="12" t="s">
        <v>3847</v>
      </c>
      <c r="F872" s="12" t="s">
        <v>3888</v>
      </c>
      <c r="G872" s="11" t="s">
        <v>2098</v>
      </c>
      <c r="H872" s="11" t="s">
        <v>4</v>
      </c>
      <c r="I872" s="13"/>
      <c r="J872" s="11" t="s">
        <v>3848</v>
      </c>
      <c r="K872" s="12" t="s">
        <v>3889</v>
      </c>
      <c r="L872" s="12"/>
      <c r="M872" s="11" t="s">
        <v>50</v>
      </c>
      <c r="N872" s="12" t="s">
        <v>51</v>
      </c>
      <c r="O872" s="11" t="s">
        <v>27</v>
      </c>
      <c r="P872" s="11" t="s">
        <v>52</v>
      </c>
      <c r="Q872" s="12"/>
    </row>
    <row r="873" customFormat="false" ht="15" hidden="false" customHeight="false" outlineLevel="0" collapsed="false">
      <c r="A873" s="11" t="s">
        <v>3890</v>
      </c>
      <c r="B873" s="11" t="s">
        <v>19</v>
      </c>
      <c r="C873" s="11" t="s">
        <v>3845</v>
      </c>
      <c r="D873" s="12" t="s">
        <v>3891</v>
      </c>
      <c r="E873" s="12" t="s">
        <v>3847</v>
      </c>
      <c r="F873" s="12" t="s">
        <v>3891</v>
      </c>
      <c r="G873" s="11" t="s">
        <v>2098</v>
      </c>
      <c r="H873" s="11" t="s">
        <v>4</v>
      </c>
      <c r="I873" s="13"/>
      <c r="J873" s="11" t="s">
        <v>3848</v>
      </c>
      <c r="K873" s="12" t="s">
        <v>3892</v>
      </c>
      <c r="L873" s="12"/>
      <c r="M873" s="11" t="s">
        <v>50</v>
      </c>
      <c r="N873" s="12" t="s">
        <v>51</v>
      </c>
      <c r="O873" s="11" t="s">
        <v>27</v>
      </c>
      <c r="P873" s="11" t="s">
        <v>52</v>
      </c>
      <c r="Q873" s="12"/>
    </row>
    <row r="874" customFormat="false" ht="15" hidden="false" customHeight="false" outlineLevel="0" collapsed="false">
      <c r="A874" s="11" t="s">
        <v>3893</v>
      </c>
      <c r="B874" s="11" t="s">
        <v>19</v>
      </c>
      <c r="C874" s="11" t="s">
        <v>3845</v>
      </c>
      <c r="D874" s="12" t="s">
        <v>3894</v>
      </c>
      <c r="E874" s="12" t="s">
        <v>3847</v>
      </c>
      <c r="F874" s="12" t="s">
        <v>3894</v>
      </c>
      <c r="G874" s="11" t="s">
        <v>2098</v>
      </c>
      <c r="H874" s="11" t="s">
        <v>9</v>
      </c>
      <c r="I874" s="13"/>
      <c r="J874" s="11" t="s">
        <v>3848</v>
      </c>
      <c r="K874" s="12" t="s">
        <v>3880</v>
      </c>
      <c r="L874" s="12"/>
      <c r="M874" s="11" t="s">
        <v>1809</v>
      </c>
      <c r="N874" s="12" t="s">
        <v>51</v>
      </c>
      <c r="O874" s="11" t="s">
        <v>28</v>
      </c>
      <c r="P874" s="11" t="s">
        <v>52</v>
      </c>
      <c r="Q874" s="12"/>
    </row>
    <row r="875" customFormat="false" ht="15" hidden="false" customHeight="false" outlineLevel="0" collapsed="false">
      <c r="A875" s="11" t="s">
        <v>3895</v>
      </c>
      <c r="B875" s="11" t="s">
        <v>20</v>
      </c>
      <c r="C875" s="11" t="s">
        <v>3896</v>
      </c>
      <c r="D875" s="12" t="s">
        <v>3897</v>
      </c>
      <c r="E875" s="12" t="s">
        <v>3898</v>
      </c>
      <c r="F875" s="12" t="s">
        <v>3897</v>
      </c>
      <c r="G875" s="11" t="s">
        <v>3899</v>
      </c>
      <c r="H875" s="11" t="s">
        <v>9</v>
      </c>
      <c r="I875" s="13"/>
      <c r="J875" s="11" t="s">
        <v>3848</v>
      </c>
      <c r="K875" s="12" t="s">
        <v>3900</v>
      </c>
      <c r="L875" s="12"/>
      <c r="M875" s="11" t="s">
        <v>1809</v>
      </c>
      <c r="N875" s="12" t="s">
        <v>51</v>
      </c>
      <c r="O875" s="11" t="s">
        <v>28</v>
      </c>
      <c r="P875" s="11" t="s">
        <v>52</v>
      </c>
      <c r="Q875" s="12" t="s">
        <v>3900</v>
      </c>
    </row>
    <row r="876" customFormat="false" ht="15" hidden="false" customHeight="false" outlineLevel="0" collapsed="false">
      <c r="A876" s="11" t="s">
        <v>3901</v>
      </c>
      <c r="B876" s="11" t="s">
        <v>20</v>
      </c>
      <c r="C876" s="11" t="s">
        <v>3896</v>
      </c>
      <c r="D876" s="12" t="s">
        <v>3902</v>
      </c>
      <c r="E876" s="12" t="s">
        <v>3903</v>
      </c>
      <c r="F876" s="12" t="s">
        <v>3902</v>
      </c>
      <c r="G876" s="11" t="s">
        <v>3904</v>
      </c>
      <c r="H876" s="11" t="s">
        <v>9</v>
      </c>
      <c r="I876" s="13"/>
      <c r="J876" s="11" t="s">
        <v>3905</v>
      </c>
      <c r="K876" s="12" t="s">
        <v>3906</v>
      </c>
      <c r="L876" s="12"/>
      <c r="M876" s="11" t="s">
        <v>1809</v>
      </c>
      <c r="N876" s="12" t="s">
        <v>51</v>
      </c>
      <c r="O876" s="11" t="s">
        <v>28</v>
      </c>
      <c r="P876" s="11" t="s">
        <v>52</v>
      </c>
      <c r="Q876" s="12" t="s">
        <v>3906</v>
      </c>
    </row>
    <row r="877" customFormat="false" ht="15" hidden="false" customHeight="false" outlineLevel="0" collapsed="false">
      <c r="A877" s="11" t="s">
        <v>3907</v>
      </c>
      <c r="B877" s="11" t="s">
        <v>20</v>
      </c>
      <c r="C877" s="11" t="s">
        <v>3896</v>
      </c>
      <c r="D877" s="12" t="s">
        <v>474</v>
      </c>
      <c r="E877" s="12" t="s">
        <v>3908</v>
      </c>
      <c r="F877" s="12" t="s">
        <v>474</v>
      </c>
      <c r="G877" s="11" t="s">
        <v>3904</v>
      </c>
      <c r="H877" s="11" t="s">
        <v>9</v>
      </c>
      <c r="I877" s="13"/>
      <c r="J877" s="11" t="s">
        <v>3905</v>
      </c>
      <c r="K877" s="12" t="s">
        <v>3909</v>
      </c>
      <c r="L877" s="12"/>
      <c r="M877" s="11" t="s">
        <v>1809</v>
      </c>
      <c r="N877" s="12" t="s">
        <v>51</v>
      </c>
      <c r="O877" s="11" t="s">
        <v>28</v>
      </c>
      <c r="P877" s="11" t="s">
        <v>52</v>
      </c>
      <c r="Q877" s="12" t="s">
        <v>3909</v>
      </c>
    </row>
    <row r="878" customFormat="false" ht="15" hidden="false" customHeight="false" outlineLevel="0" collapsed="false">
      <c r="A878" s="11" t="s">
        <v>3910</v>
      </c>
      <c r="B878" s="11" t="s">
        <v>20</v>
      </c>
      <c r="C878" s="11" t="s">
        <v>3896</v>
      </c>
      <c r="D878" s="12" t="s">
        <v>477</v>
      </c>
      <c r="E878" s="12" t="s">
        <v>3911</v>
      </c>
      <c r="F878" s="12" t="s">
        <v>477</v>
      </c>
      <c r="G878" s="11" t="s">
        <v>3904</v>
      </c>
      <c r="H878" s="11" t="s">
        <v>9</v>
      </c>
      <c r="I878" s="13"/>
      <c r="J878" s="11" t="s">
        <v>3905</v>
      </c>
      <c r="K878" s="12" t="s">
        <v>3912</v>
      </c>
      <c r="L878" s="12"/>
      <c r="M878" s="11" t="s">
        <v>1809</v>
      </c>
      <c r="N878" s="12" t="s">
        <v>51</v>
      </c>
      <c r="O878" s="11" t="s">
        <v>28</v>
      </c>
      <c r="P878" s="11" t="s">
        <v>52</v>
      </c>
      <c r="Q878" s="12" t="s">
        <v>3912</v>
      </c>
    </row>
    <row r="879" customFormat="false" ht="15" hidden="false" customHeight="false" outlineLevel="0" collapsed="false">
      <c r="A879" s="11" t="s">
        <v>3913</v>
      </c>
      <c r="B879" s="11" t="s">
        <v>20</v>
      </c>
      <c r="C879" s="11" t="s">
        <v>3896</v>
      </c>
      <c r="D879" s="12" t="s">
        <v>3914</v>
      </c>
      <c r="E879" s="12" t="s">
        <v>3915</v>
      </c>
      <c r="F879" s="12" t="s">
        <v>3914</v>
      </c>
      <c r="G879" s="11" t="s">
        <v>3904</v>
      </c>
      <c r="H879" s="11" t="s">
        <v>4</v>
      </c>
      <c r="I879" s="13"/>
      <c r="J879" s="11" t="s">
        <v>3905</v>
      </c>
      <c r="K879" s="12" t="s">
        <v>636</v>
      </c>
      <c r="L879" s="12"/>
      <c r="M879" s="11" t="s">
        <v>50</v>
      </c>
      <c r="N879" s="12" t="s">
        <v>51</v>
      </c>
      <c r="O879" s="11" t="s">
        <v>27</v>
      </c>
      <c r="P879" s="11" t="s">
        <v>52</v>
      </c>
      <c r="Q879" s="12" t="s">
        <v>3916</v>
      </c>
    </row>
    <row r="880" customFormat="false" ht="15" hidden="false" customHeight="false" outlineLevel="0" collapsed="false">
      <c r="A880" s="11" t="s">
        <v>3917</v>
      </c>
      <c r="B880" s="11" t="s">
        <v>20</v>
      </c>
      <c r="C880" s="11" t="s">
        <v>3896</v>
      </c>
      <c r="D880" s="12" t="s">
        <v>642</v>
      </c>
      <c r="E880" s="12" t="s">
        <v>3915</v>
      </c>
      <c r="F880" s="12" t="s">
        <v>642</v>
      </c>
      <c r="G880" s="11" t="s">
        <v>3904</v>
      </c>
      <c r="H880" s="11" t="s">
        <v>4</v>
      </c>
      <c r="I880" s="13"/>
      <c r="J880" s="11" t="s">
        <v>3905</v>
      </c>
      <c r="K880" s="12" t="s">
        <v>644</v>
      </c>
      <c r="L880" s="12"/>
      <c r="M880" s="11" t="s">
        <v>50</v>
      </c>
      <c r="N880" s="12" t="s">
        <v>51</v>
      </c>
      <c r="O880" s="11" t="s">
        <v>27</v>
      </c>
      <c r="P880" s="11" t="s">
        <v>52</v>
      </c>
      <c r="Q880" s="12" t="s">
        <v>3918</v>
      </c>
    </row>
    <row r="881" customFormat="false" ht="15" hidden="false" customHeight="false" outlineLevel="0" collapsed="false">
      <c r="A881" s="11" t="s">
        <v>3919</v>
      </c>
      <c r="B881" s="11" t="s">
        <v>20</v>
      </c>
      <c r="C881" s="11" t="s">
        <v>3896</v>
      </c>
      <c r="D881" s="12" t="s">
        <v>3920</v>
      </c>
      <c r="E881" s="12" t="s">
        <v>3921</v>
      </c>
      <c r="F881" s="12" t="s">
        <v>3920</v>
      </c>
      <c r="G881" s="11" t="s">
        <v>3904</v>
      </c>
      <c r="H881" s="11" t="s">
        <v>4</v>
      </c>
      <c r="I881" s="13"/>
      <c r="J881" s="11" t="s">
        <v>3905</v>
      </c>
      <c r="K881" s="12" t="s">
        <v>676</v>
      </c>
      <c r="L881" s="12"/>
      <c r="M881" s="11" t="s">
        <v>50</v>
      </c>
      <c r="N881" s="12" t="s">
        <v>51</v>
      </c>
      <c r="O881" s="11" t="s">
        <v>27</v>
      </c>
      <c r="P881" s="11" t="s">
        <v>52</v>
      </c>
      <c r="Q881" s="12" t="s">
        <v>3922</v>
      </c>
    </row>
    <row r="882" customFormat="false" ht="15" hidden="false" customHeight="false" outlineLevel="0" collapsed="false">
      <c r="A882" s="11" t="s">
        <v>3923</v>
      </c>
      <c r="B882" s="11" t="s">
        <v>20</v>
      </c>
      <c r="C882" s="11" t="s">
        <v>3896</v>
      </c>
      <c r="D882" s="12" t="s">
        <v>3924</v>
      </c>
      <c r="E882" s="12" t="s">
        <v>3925</v>
      </c>
      <c r="F882" s="12" t="s">
        <v>3924</v>
      </c>
      <c r="G882" s="11" t="s">
        <v>3926</v>
      </c>
      <c r="H882" s="11" t="s">
        <v>4</v>
      </c>
      <c r="I882" s="13"/>
      <c r="J882" s="11" t="s">
        <v>3905</v>
      </c>
      <c r="K882" s="12" t="s">
        <v>676</v>
      </c>
      <c r="L882" s="12"/>
      <c r="M882" s="11" t="s">
        <v>50</v>
      </c>
      <c r="N882" s="12" t="s">
        <v>51</v>
      </c>
      <c r="O882" s="11" t="s">
        <v>27</v>
      </c>
      <c r="P882" s="11" t="s">
        <v>52</v>
      </c>
      <c r="Q882" s="12" t="s">
        <v>3922</v>
      </c>
    </row>
    <row r="883" customFormat="false" ht="15" hidden="false" customHeight="false" outlineLevel="0" collapsed="false">
      <c r="A883" s="11" t="s">
        <v>3927</v>
      </c>
      <c r="B883" s="11" t="s">
        <v>20</v>
      </c>
      <c r="C883" s="11" t="s">
        <v>3896</v>
      </c>
      <c r="D883" s="12" t="s">
        <v>3928</v>
      </c>
      <c r="E883" s="12" t="s">
        <v>3925</v>
      </c>
      <c r="F883" s="12" t="s">
        <v>3928</v>
      </c>
      <c r="G883" s="11" t="s">
        <v>3926</v>
      </c>
      <c r="H883" s="11" t="s">
        <v>4</v>
      </c>
      <c r="I883" s="13"/>
      <c r="J883" s="11" t="s">
        <v>3905</v>
      </c>
      <c r="K883" s="12" t="s">
        <v>676</v>
      </c>
      <c r="L883" s="12"/>
      <c r="M883" s="11" t="s">
        <v>50</v>
      </c>
      <c r="N883" s="12" t="s">
        <v>51</v>
      </c>
      <c r="O883" s="11" t="s">
        <v>27</v>
      </c>
      <c r="P883" s="11" t="s">
        <v>52</v>
      </c>
      <c r="Q883" s="12" t="s">
        <v>3922</v>
      </c>
    </row>
    <row r="884" customFormat="false" ht="15" hidden="false" customHeight="false" outlineLevel="0" collapsed="false">
      <c r="A884" s="11" t="s">
        <v>3929</v>
      </c>
      <c r="B884" s="11" t="s">
        <v>20</v>
      </c>
      <c r="C884" s="11" t="s">
        <v>3896</v>
      </c>
      <c r="D884" s="12" t="s">
        <v>3930</v>
      </c>
      <c r="E884" s="12" t="s">
        <v>3925</v>
      </c>
      <c r="F884" s="12" t="s">
        <v>3930</v>
      </c>
      <c r="G884" s="11" t="s">
        <v>3904</v>
      </c>
      <c r="H884" s="11" t="s">
        <v>4</v>
      </c>
      <c r="I884" s="13"/>
      <c r="J884" s="11" t="s">
        <v>3905</v>
      </c>
      <c r="K884" s="12" t="s">
        <v>783</v>
      </c>
      <c r="L884" s="12"/>
      <c r="M884" s="11" t="s">
        <v>50</v>
      </c>
      <c r="N884" s="12" t="s">
        <v>51</v>
      </c>
      <c r="O884" s="11" t="s">
        <v>27</v>
      </c>
      <c r="P884" s="11" t="s">
        <v>52</v>
      </c>
      <c r="Q884" s="12" t="s">
        <v>3931</v>
      </c>
    </row>
    <row r="885" customFormat="false" ht="15" hidden="false" customHeight="false" outlineLevel="0" collapsed="false">
      <c r="A885" s="11" t="s">
        <v>3932</v>
      </c>
      <c r="B885" s="11" t="s">
        <v>20</v>
      </c>
      <c r="C885" s="11" t="s">
        <v>3896</v>
      </c>
      <c r="D885" s="12" t="s">
        <v>781</v>
      </c>
      <c r="E885" s="12" t="s">
        <v>3925</v>
      </c>
      <c r="F885" s="12" t="s">
        <v>781</v>
      </c>
      <c r="G885" s="11" t="s">
        <v>3904</v>
      </c>
      <c r="H885" s="11" t="s">
        <v>4</v>
      </c>
      <c r="I885" s="13"/>
      <c r="J885" s="11" t="s">
        <v>3905</v>
      </c>
      <c r="K885" s="12" t="s">
        <v>783</v>
      </c>
      <c r="L885" s="12"/>
      <c r="M885" s="11" t="s">
        <v>50</v>
      </c>
      <c r="N885" s="12" t="s">
        <v>51</v>
      </c>
      <c r="O885" s="11" t="s">
        <v>27</v>
      </c>
      <c r="P885" s="11" t="s">
        <v>52</v>
      </c>
      <c r="Q885" s="12" t="s">
        <v>3931</v>
      </c>
    </row>
    <row r="886" customFormat="false" ht="15" hidden="false" customHeight="false" outlineLevel="0" collapsed="false">
      <c r="A886" s="11" t="s">
        <v>3933</v>
      </c>
      <c r="B886" s="11" t="s">
        <v>20</v>
      </c>
      <c r="C886" s="11" t="s">
        <v>3896</v>
      </c>
      <c r="D886" s="12" t="s">
        <v>3934</v>
      </c>
      <c r="E886" s="12" t="s">
        <v>3935</v>
      </c>
      <c r="F886" s="12" t="s">
        <v>3934</v>
      </c>
      <c r="G886" s="11" t="s">
        <v>3926</v>
      </c>
      <c r="H886" s="11" t="s">
        <v>4</v>
      </c>
      <c r="I886" s="13"/>
      <c r="J886" s="11" t="s">
        <v>3905</v>
      </c>
      <c r="K886" s="12" t="s">
        <v>783</v>
      </c>
      <c r="L886" s="12"/>
      <c r="M886" s="11" t="s">
        <v>50</v>
      </c>
      <c r="N886" s="12" t="s">
        <v>51</v>
      </c>
      <c r="O886" s="11" t="s">
        <v>27</v>
      </c>
      <c r="P886" s="11" t="s">
        <v>52</v>
      </c>
      <c r="Q886" s="12" t="s">
        <v>3931</v>
      </c>
    </row>
    <row r="887" customFormat="false" ht="15" hidden="false" customHeight="false" outlineLevel="0" collapsed="false">
      <c r="A887" s="11" t="s">
        <v>3936</v>
      </c>
      <c r="B887" s="11" t="s">
        <v>20</v>
      </c>
      <c r="C887" s="11" t="s">
        <v>3896</v>
      </c>
      <c r="D887" s="12" t="s">
        <v>875</v>
      </c>
      <c r="E887" s="12" t="s">
        <v>3937</v>
      </c>
      <c r="F887" s="12" t="s">
        <v>875</v>
      </c>
      <c r="G887" s="11" t="s">
        <v>3904</v>
      </c>
      <c r="H887" s="11" t="s">
        <v>4</v>
      </c>
      <c r="I887" s="13"/>
      <c r="J887" s="11" t="s">
        <v>3905</v>
      </c>
      <c r="K887" s="12" t="s">
        <v>873</v>
      </c>
      <c r="L887" s="12"/>
      <c r="M887" s="11" t="s">
        <v>50</v>
      </c>
      <c r="N887" s="12" t="s">
        <v>51</v>
      </c>
      <c r="O887" s="11" t="s">
        <v>27</v>
      </c>
      <c r="P887" s="11" t="s">
        <v>52</v>
      </c>
      <c r="Q887" s="12" t="s">
        <v>3938</v>
      </c>
    </row>
    <row r="888" customFormat="false" ht="15" hidden="false" customHeight="false" outlineLevel="0" collapsed="false">
      <c r="A888" s="11" t="s">
        <v>3939</v>
      </c>
      <c r="B888" s="11" t="s">
        <v>20</v>
      </c>
      <c r="C888" s="11" t="s">
        <v>3896</v>
      </c>
      <c r="D888" s="12" t="s">
        <v>3940</v>
      </c>
      <c r="E888" s="12" t="s">
        <v>3941</v>
      </c>
      <c r="F888" s="12" t="s">
        <v>3940</v>
      </c>
      <c r="G888" s="11" t="s">
        <v>3904</v>
      </c>
      <c r="H888" s="11" t="s">
        <v>4</v>
      </c>
      <c r="I888" s="13"/>
      <c r="J888" s="11" t="s">
        <v>3905</v>
      </c>
      <c r="K888" s="12" t="s">
        <v>919</v>
      </c>
      <c r="L888" s="12"/>
      <c r="M888" s="11" t="s">
        <v>50</v>
      </c>
      <c r="N888" s="12" t="s">
        <v>51</v>
      </c>
      <c r="O888" s="11" t="s">
        <v>27</v>
      </c>
      <c r="P888" s="11" t="s">
        <v>52</v>
      </c>
      <c r="Q888" s="12" t="s">
        <v>3942</v>
      </c>
    </row>
    <row r="889" customFormat="false" ht="22.35" hidden="false" customHeight="false" outlineLevel="0" collapsed="false">
      <c r="A889" s="11" t="s">
        <v>3943</v>
      </c>
      <c r="B889" s="11" t="s">
        <v>20</v>
      </c>
      <c r="C889" s="11" t="s">
        <v>3896</v>
      </c>
      <c r="D889" s="12" t="s">
        <v>3944</v>
      </c>
      <c r="E889" s="12" t="s">
        <v>3941</v>
      </c>
      <c r="F889" s="12" t="s">
        <v>3944</v>
      </c>
      <c r="G889" s="11" t="s">
        <v>3945</v>
      </c>
      <c r="H889" s="11" t="s">
        <v>4</v>
      </c>
      <c r="I889" s="13"/>
      <c r="J889" s="11" t="s">
        <v>3848</v>
      </c>
      <c r="K889" s="12" t="s">
        <v>3946</v>
      </c>
      <c r="L889" s="12"/>
      <c r="M889" s="11" t="s">
        <v>50</v>
      </c>
      <c r="N889" s="12" t="s">
        <v>51</v>
      </c>
      <c r="O889" s="11" t="s">
        <v>27</v>
      </c>
      <c r="P889" s="11" t="s">
        <v>52</v>
      </c>
      <c r="Q889" s="12" t="s">
        <v>3946</v>
      </c>
    </row>
    <row r="890" customFormat="false" ht="15" hidden="false" customHeight="false" outlineLevel="0" collapsed="false">
      <c r="A890" s="11" t="s">
        <v>3947</v>
      </c>
      <c r="B890" s="11" t="s">
        <v>20</v>
      </c>
      <c r="C890" s="11" t="s">
        <v>3896</v>
      </c>
      <c r="D890" s="12" t="s">
        <v>886</v>
      </c>
      <c r="E890" s="12" t="s">
        <v>3941</v>
      </c>
      <c r="F890" s="12" t="s">
        <v>886</v>
      </c>
      <c r="G890" s="11" t="s">
        <v>3904</v>
      </c>
      <c r="H890" s="11" t="s">
        <v>4</v>
      </c>
      <c r="I890" s="13"/>
      <c r="J890" s="11" t="s">
        <v>3905</v>
      </c>
      <c r="K890" s="12" t="s">
        <v>888</v>
      </c>
      <c r="L890" s="12"/>
      <c r="M890" s="11" t="s">
        <v>50</v>
      </c>
      <c r="N890" s="12" t="s">
        <v>51</v>
      </c>
      <c r="O890" s="11" t="s">
        <v>27</v>
      </c>
      <c r="P890" s="11" t="s">
        <v>52</v>
      </c>
      <c r="Q890" s="12" t="s">
        <v>3948</v>
      </c>
    </row>
    <row r="891" customFormat="false" ht="15" hidden="false" customHeight="false" outlineLevel="0" collapsed="false">
      <c r="A891" s="11" t="s">
        <v>3949</v>
      </c>
      <c r="B891" s="11" t="s">
        <v>20</v>
      </c>
      <c r="C891" s="11" t="s">
        <v>3896</v>
      </c>
      <c r="D891" s="12" t="s">
        <v>927</v>
      </c>
      <c r="E891" s="12" t="s">
        <v>3941</v>
      </c>
      <c r="F891" s="12" t="s">
        <v>927</v>
      </c>
      <c r="G891" s="11" t="s">
        <v>3904</v>
      </c>
      <c r="H891" s="11" t="s">
        <v>4</v>
      </c>
      <c r="I891" s="13"/>
      <c r="J891" s="11" t="s">
        <v>3905</v>
      </c>
      <c r="K891" s="12" t="s">
        <v>919</v>
      </c>
      <c r="L891" s="12"/>
      <c r="M891" s="11" t="s">
        <v>50</v>
      </c>
      <c r="N891" s="12" t="s">
        <v>51</v>
      </c>
      <c r="O891" s="11" t="s">
        <v>27</v>
      </c>
      <c r="P891" s="11" t="s">
        <v>52</v>
      </c>
      <c r="Q891" s="12" t="s">
        <v>3950</v>
      </c>
    </row>
    <row r="892" customFormat="false" ht="22.35" hidden="false" customHeight="false" outlineLevel="0" collapsed="false">
      <c r="A892" s="11" t="s">
        <v>3951</v>
      </c>
      <c r="B892" s="11" t="s">
        <v>20</v>
      </c>
      <c r="C892" s="11" t="s">
        <v>3896</v>
      </c>
      <c r="D892" s="12" t="s">
        <v>3952</v>
      </c>
      <c r="E892" s="12" t="s">
        <v>3941</v>
      </c>
      <c r="F892" s="12" t="s">
        <v>3952</v>
      </c>
      <c r="G892" s="11" t="s">
        <v>3945</v>
      </c>
      <c r="H892" s="11" t="s">
        <v>4</v>
      </c>
      <c r="I892" s="13"/>
      <c r="J892" s="11" t="s">
        <v>3848</v>
      </c>
      <c r="K892" s="12" t="s">
        <v>3946</v>
      </c>
      <c r="L892" s="12"/>
      <c r="M892" s="11" t="s">
        <v>50</v>
      </c>
      <c r="N892" s="12" t="s">
        <v>51</v>
      </c>
      <c r="O892" s="11" t="s">
        <v>27</v>
      </c>
      <c r="P892" s="11" t="s">
        <v>52</v>
      </c>
      <c r="Q892" s="12" t="s">
        <v>3946</v>
      </c>
    </row>
    <row r="893" customFormat="false" ht="22.35" hidden="false" customHeight="false" outlineLevel="0" collapsed="false">
      <c r="A893" s="11" t="s">
        <v>3953</v>
      </c>
      <c r="B893" s="11" t="s">
        <v>20</v>
      </c>
      <c r="C893" s="11" t="s">
        <v>3896</v>
      </c>
      <c r="D893" s="12" t="s">
        <v>3954</v>
      </c>
      <c r="E893" s="12" t="s">
        <v>3941</v>
      </c>
      <c r="F893" s="12" t="s">
        <v>3954</v>
      </c>
      <c r="G893" s="11" t="s">
        <v>3945</v>
      </c>
      <c r="H893" s="11" t="s">
        <v>4</v>
      </c>
      <c r="I893" s="13"/>
      <c r="J893" s="11" t="s">
        <v>3848</v>
      </c>
      <c r="K893" s="12" t="s">
        <v>3946</v>
      </c>
      <c r="L893" s="12"/>
      <c r="M893" s="11" t="s">
        <v>50</v>
      </c>
      <c r="N893" s="12" t="s">
        <v>51</v>
      </c>
      <c r="O893" s="11" t="s">
        <v>27</v>
      </c>
      <c r="P893" s="11" t="s">
        <v>52</v>
      </c>
      <c r="Q893" s="12" t="s">
        <v>3946</v>
      </c>
    </row>
    <row r="894" customFormat="false" ht="15" hidden="false" customHeight="false" outlineLevel="0" collapsed="false">
      <c r="A894" s="11" t="s">
        <v>3955</v>
      </c>
      <c r="B894" s="11" t="s">
        <v>20</v>
      </c>
      <c r="C894" s="11" t="s">
        <v>3896</v>
      </c>
      <c r="D894" s="12" t="s">
        <v>917</v>
      </c>
      <c r="E894" s="12" t="s">
        <v>3941</v>
      </c>
      <c r="F894" s="12" t="s">
        <v>917</v>
      </c>
      <c r="G894" s="11" t="s">
        <v>3904</v>
      </c>
      <c r="H894" s="11" t="s">
        <v>4</v>
      </c>
      <c r="I894" s="13"/>
      <c r="J894" s="11" t="s">
        <v>3905</v>
      </c>
      <c r="K894" s="12" t="s">
        <v>919</v>
      </c>
      <c r="L894" s="12"/>
      <c r="M894" s="11" t="s">
        <v>50</v>
      </c>
      <c r="N894" s="12" t="s">
        <v>51</v>
      </c>
      <c r="O894" s="11" t="s">
        <v>27</v>
      </c>
      <c r="P894" s="11" t="s">
        <v>52</v>
      </c>
      <c r="Q894" s="12" t="s">
        <v>3956</v>
      </c>
    </row>
    <row r="895" customFormat="false" ht="15" hidden="false" customHeight="false" outlineLevel="0" collapsed="false">
      <c r="A895" s="11" t="s">
        <v>3957</v>
      </c>
      <c r="B895" s="11" t="s">
        <v>20</v>
      </c>
      <c r="C895" s="11" t="s">
        <v>3896</v>
      </c>
      <c r="D895" s="12" t="s">
        <v>3958</v>
      </c>
      <c r="E895" s="12" t="s">
        <v>3959</v>
      </c>
      <c r="F895" s="12" t="s">
        <v>3958</v>
      </c>
      <c r="G895" s="11" t="s">
        <v>3899</v>
      </c>
      <c r="H895" s="11" t="s">
        <v>9</v>
      </c>
      <c r="I895" s="13"/>
      <c r="J895" s="11" t="s">
        <v>3848</v>
      </c>
      <c r="K895" s="12" t="s">
        <v>3960</v>
      </c>
      <c r="L895" s="12"/>
      <c r="M895" s="11" t="s">
        <v>1809</v>
      </c>
      <c r="N895" s="12" t="s">
        <v>51</v>
      </c>
      <c r="O895" s="11" t="s">
        <v>28</v>
      </c>
      <c r="P895" s="11" t="s">
        <v>52</v>
      </c>
      <c r="Q895" s="12" t="s">
        <v>3960</v>
      </c>
    </row>
    <row r="896" customFormat="false" ht="15" hidden="false" customHeight="false" outlineLevel="0" collapsed="false">
      <c r="A896" s="11" t="s">
        <v>3961</v>
      </c>
      <c r="B896" s="11" t="s">
        <v>20</v>
      </c>
      <c r="C896" s="11" t="s">
        <v>3896</v>
      </c>
      <c r="D896" s="12" t="s">
        <v>3962</v>
      </c>
      <c r="E896" s="12" t="s">
        <v>3959</v>
      </c>
      <c r="F896" s="12" t="s">
        <v>3962</v>
      </c>
      <c r="G896" s="11" t="s">
        <v>3899</v>
      </c>
      <c r="H896" s="11" t="s">
        <v>9</v>
      </c>
      <c r="I896" s="13"/>
      <c r="J896" s="11" t="s">
        <v>3848</v>
      </c>
      <c r="K896" s="12" t="s">
        <v>3960</v>
      </c>
      <c r="L896" s="12"/>
      <c r="M896" s="11" t="s">
        <v>1809</v>
      </c>
      <c r="N896" s="12" t="s">
        <v>51</v>
      </c>
      <c r="O896" s="11" t="s">
        <v>28</v>
      </c>
      <c r="P896" s="11" t="s">
        <v>52</v>
      </c>
      <c r="Q896" s="12" t="s">
        <v>3960</v>
      </c>
    </row>
    <row r="897" customFormat="false" ht="22.35" hidden="false" customHeight="false" outlineLevel="0" collapsed="false">
      <c r="A897" s="11" t="s">
        <v>3963</v>
      </c>
      <c r="B897" s="11" t="s">
        <v>20</v>
      </c>
      <c r="C897" s="11" t="s">
        <v>3964</v>
      </c>
      <c r="D897" s="12" t="s">
        <v>743</v>
      </c>
      <c r="E897" s="12" t="s">
        <v>3925</v>
      </c>
      <c r="F897" s="12" t="s">
        <v>743</v>
      </c>
      <c r="G897" s="11" t="s">
        <v>3965</v>
      </c>
      <c r="H897" s="11" t="s">
        <v>4</v>
      </c>
      <c r="I897" s="13" t="n">
        <v>0.9</v>
      </c>
      <c r="J897" s="11" t="s">
        <v>3905</v>
      </c>
      <c r="K897" s="12" t="s">
        <v>746</v>
      </c>
      <c r="L897" s="12"/>
      <c r="M897" s="11" t="s">
        <v>50</v>
      </c>
      <c r="N897" s="12" t="s">
        <v>51</v>
      </c>
      <c r="O897" s="11" t="s">
        <v>27</v>
      </c>
      <c r="P897" s="11" t="s">
        <v>52</v>
      </c>
      <c r="Q897" s="12" t="s">
        <v>3966</v>
      </c>
    </row>
    <row r="898" customFormat="false" ht="32.8" hidden="false" customHeight="false" outlineLevel="0" collapsed="false">
      <c r="A898" s="11" t="s">
        <v>3967</v>
      </c>
      <c r="B898" s="11" t="s">
        <v>20</v>
      </c>
      <c r="C898" s="11" t="s">
        <v>3964</v>
      </c>
      <c r="D898" s="12" t="s">
        <v>819</v>
      </c>
      <c r="E898" s="12" t="s">
        <v>3968</v>
      </c>
      <c r="F898" s="12" t="s">
        <v>819</v>
      </c>
      <c r="G898" s="11" t="s">
        <v>3965</v>
      </c>
      <c r="H898" s="11" t="s">
        <v>4</v>
      </c>
      <c r="I898" s="13" t="n">
        <v>0.783783783783784</v>
      </c>
      <c r="J898" s="11" t="s">
        <v>3905</v>
      </c>
      <c r="K898" s="12" t="s">
        <v>822</v>
      </c>
      <c r="L898" s="12"/>
      <c r="M898" s="11" t="s">
        <v>50</v>
      </c>
      <c r="N898" s="12" t="s">
        <v>51</v>
      </c>
      <c r="O898" s="11" t="s">
        <v>27</v>
      </c>
      <c r="P898" s="11" t="s">
        <v>52</v>
      </c>
      <c r="Q898" s="12" t="s">
        <v>3969</v>
      </c>
    </row>
    <row r="899" customFormat="false" ht="32.8" hidden="false" customHeight="false" outlineLevel="0" collapsed="false">
      <c r="A899" s="11" t="s">
        <v>3970</v>
      </c>
      <c r="B899" s="11" t="s">
        <v>20</v>
      </c>
      <c r="C899" s="11" t="s">
        <v>3964</v>
      </c>
      <c r="D899" s="12" t="s">
        <v>765</v>
      </c>
      <c r="E899" s="12" t="s">
        <v>3968</v>
      </c>
      <c r="F899" s="12" t="s">
        <v>765</v>
      </c>
      <c r="G899" s="11" t="s">
        <v>3965</v>
      </c>
      <c r="H899" s="11" t="s">
        <v>4</v>
      </c>
      <c r="I899" s="13" t="n">
        <v>0.55</v>
      </c>
      <c r="J899" s="11" t="s">
        <v>3905</v>
      </c>
      <c r="K899" s="12" t="s">
        <v>768</v>
      </c>
      <c r="L899" s="12"/>
      <c r="M899" s="11" t="s">
        <v>50</v>
      </c>
      <c r="N899" s="12" t="s">
        <v>51</v>
      </c>
      <c r="O899" s="11" t="s">
        <v>27</v>
      </c>
      <c r="P899" s="11" t="s">
        <v>52</v>
      </c>
      <c r="Q899" s="12" t="s">
        <v>3971</v>
      </c>
    </row>
    <row r="900" customFormat="false" ht="22.35" hidden="false" customHeight="false" outlineLevel="0" collapsed="false">
      <c r="A900" s="11" t="s">
        <v>3972</v>
      </c>
      <c r="B900" s="11" t="s">
        <v>20</v>
      </c>
      <c r="C900" s="11" t="s">
        <v>3964</v>
      </c>
      <c r="D900" s="12" t="s">
        <v>878</v>
      </c>
      <c r="E900" s="12" t="s">
        <v>3937</v>
      </c>
      <c r="F900" s="12" t="s">
        <v>878</v>
      </c>
      <c r="G900" s="11" t="s">
        <v>3965</v>
      </c>
      <c r="H900" s="11" t="s">
        <v>4</v>
      </c>
      <c r="I900" s="13" t="n">
        <v>0.8</v>
      </c>
      <c r="J900" s="11" t="s">
        <v>3905</v>
      </c>
      <c r="K900" s="12" t="s">
        <v>881</v>
      </c>
      <c r="L900" s="12"/>
      <c r="M900" s="11" t="s">
        <v>50</v>
      </c>
      <c r="N900" s="12" t="s">
        <v>51</v>
      </c>
      <c r="O900" s="11" t="s">
        <v>27</v>
      </c>
      <c r="P900" s="11" t="s">
        <v>52</v>
      </c>
      <c r="Q900" s="12" t="s">
        <v>3973</v>
      </c>
    </row>
    <row r="901" customFormat="false" ht="22.35" hidden="false" customHeight="false" outlineLevel="0" collapsed="false">
      <c r="A901" s="11" t="s">
        <v>3974</v>
      </c>
      <c r="B901" s="11" t="s">
        <v>20</v>
      </c>
      <c r="C901" s="11" t="s">
        <v>3975</v>
      </c>
      <c r="D901" s="12" t="s">
        <v>871</v>
      </c>
      <c r="E901" s="12" t="s">
        <v>3937</v>
      </c>
      <c r="F901" s="12" t="s">
        <v>871</v>
      </c>
      <c r="G901" s="11" t="s">
        <v>3976</v>
      </c>
      <c r="H901" s="11" t="s">
        <v>4</v>
      </c>
      <c r="I901" s="13"/>
      <c r="J901" s="11" t="s">
        <v>3848</v>
      </c>
      <c r="K901" s="12" t="s">
        <v>3977</v>
      </c>
      <c r="L901" s="12"/>
      <c r="M901" s="11" t="s">
        <v>50</v>
      </c>
      <c r="N901" s="12" t="s">
        <v>51</v>
      </c>
      <c r="O901" s="11" t="s">
        <v>27</v>
      </c>
      <c r="P901" s="11" t="s">
        <v>52</v>
      </c>
      <c r="Q901" s="12" t="s">
        <v>3977</v>
      </c>
    </row>
    <row r="902" customFormat="false" ht="15" hidden="false" customHeight="false" outlineLevel="0" collapsed="false">
      <c r="A902" s="11" t="s">
        <v>3978</v>
      </c>
      <c r="B902" s="11" t="s">
        <v>20</v>
      </c>
      <c r="C902" s="11" t="s">
        <v>3979</v>
      </c>
      <c r="D902" s="12" t="s">
        <v>3980</v>
      </c>
      <c r="E902" s="12" t="s">
        <v>3908</v>
      </c>
      <c r="F902" s="12" t="s">
        <v>3980</v>
      </c>
      <c r="G902" s="11" t="s">
        <v>3981</v>
      </c>
      <c r="H902" s="11" t="s">
        <v>4</v>
      </c>
      <c r="I902" s="13"/>
      <c r="J902" s="11" t="s">
        <v>3848</v>
      </c>
      <c r="K902" s="12" t="s">
        <v>3982</v>
      </c>
      <c r="L902" s="12"/>
      <c r="M902" s="11" t="s">
        <v>50</v>
      </c>
      <c r="N902" s="12" t="s">
        <v>51</v>
      </c>
      <c r="O902" s="11" t="s">
        <v>27</v>
      </c>
      <c r="P902" s="11" t="s">
        <v>52</v>
      </c>
      <c r="Q902" s="12" t="s">
        <v>3982</v>
      </c>
    </row>
    <row r="903" customFormat="false" ht="15" hidden="false" customHeight="false" outlineLevel="0" collapsed="false">
      <c r="A903" s="11" t="s">
        <v>3983</v>
      </c>
      <c r="B903" s="11" t="s">
        <v>20</v>
      </c>
      <c r="C903" s="11" t="s">
        <v>3979</v>
      </c>
      <c r="D903" s="12" t="s">
        <v>3984</v>
      </c>
      <c r="E903" s="12" t="s">
        <v>3911</v>
      </c>
      <c r="F903" s="12" t="s">
        <v>3984</v>
      </c>
      <c r="G903" s="11" t="s">
        <v>3985</v>
      </c>
      <c r="H903" s="11" t="s">
        <v>4</v>
      </c>
      <c r="I903" s="13" t="n">
        <v>0.425</v>
      </c>
      <c r="J903" s="11" t="s">
        <v>3905</v>
      </c>
      <c r="K903" s="12" t="s">
        <v>460</v>
      </c>
      <c r="L903" s="12"/>
      <c r="M903" s="11" t="s">
        <v>50</v>
      </c>
      <c r="N903" s="12" t="s">
        <v>51</v>
      </c>
      <c r="O903" s="11" t="s">
        <v>27</v>
      </c>
      <c r="P903" s="11" t="s">
        <v>52</v>
      </c>
      <c r="Q903" s="12" t="s">
        <v>3986</v>
      </c>
    </row>
    <row r="904" customFormat="false" ht="15" hidden="false" customHeight="false" outlineLevel="0" collapsed="false">
      <c r="A904" s="11" t="s">
        <v>3987</v>
      </c>
      <c r="B904" s="11" t="s">
        <v>20</v>
      </c>
      <c r="C904" s="11" t="s">
        <v>3979</v>
      </c>
      <c r="D904" s="12" t="s">
        <v>3988</v>
      </c>
      <c r="E904" s="12" t="s">
        <v>3989</v>
      </c>
      <c r="F904" s="12" t="s">
        <v>3988</v>
      </c>
      <c r="G904" s="11" t="s">
        <v>3990</v>
      </c>
      <c r="H904" s="11" t="s">
        <v>4</v>
      </c>
      <c r="I904" s="13"/>
      <c r="J904" s="11" t="s">
        <v>3848</v>
      </c>
      <c r="K904" s="12" t="s">
        <v>3860</v>
      </c>
      <c r="L904" s="12"/>
      <c r="M904" s="11" t="s">
        <v>50</v>
      </c>
      <c r="N904" s="12" t="s">
        <v>51</v>
      </c>
      <c r="O904" s="11" t="s">
        <v>27</v>
      </c>
      <c r="P904" s="11" t="s">
        <v>52</v>
      </c>
      <c r="Q904" s="12" t="s">
        <v>3860</v>
      </c>
    </row>
    <row r="905" customFormat="false" ht="15" hidden="false" customHeight="false" outlineLevel="0" collapsed="false">
      <c r="A905" s="11" t="s">
        <v>3991</v>
      </c>
      <c r="B905" s="11" t="s">
        <v>20</v>
      </c>
      <c r="C905" s="11" t="s">
        <v>3979</v>
      </c>
      <c r="D905" s="12" t="s">
        <v>3992</v>
      </c>
      <c r="E905" s="12" t="s">
        <v>3915</v>
      </c>
      <c r="F905" s="12" t="s">
        <v>3992</v>
      </c>
      <c r="G905" s="11" t="s">
        <v>3993</v>
      </c>
      <c r="H905" s="11" t="s">
        <v>4</v>
      </c>
      <c r="I905" s="13"/>
      <c r="J905" s="11" t="s">
        <v>3848</v>
      </c>
      <c r="K905" s="12" t="s">
        <v>3860</v>
      </c>
      <c r="L905" s="12"/>
      <c r="M905" s="11" t="s">
        <v>50</v>
      </c>
      <c r="N905" s="12" t="s">
        <v>51</v>
      </c>
      <c r="O905" s="11" t="s">
        <v>27</v>
      </c>
      <c r="P905" s="11" t="s">
        <v>52</v>
      </c>
      <c r="Q905" s="12" t="s">
        <v>3860</v>
      </c>
    </row>
    <row r="906" customFormat="false" ht="15" hidden="false" customHeight="false" outlineLevel="0" collapsed="false">
      <c r="A906" s="11" t="s">
        <v>3994</v>
      </c>
      <c r="B906" s="11" t="s">
        <v>20</v>
      </c>
      <c r="C906" s="11" t="s">
        <v>3979</v>
      </c>
      <c r="D906" s="12" t="s">
        <v>3995</v>
      </c>
      <c r="E906" s="12" t="s">
        <v>3921</v>
      </c>
      <c r="F906" s="12" t="s">
        <v>3995</v>
      </c>
      <c r="G906" s="11" t="s">
        <v>3996</v>
      </c>
      <c r="H906" s="11" t="s">
        <v>4</v>
      </c>
      <c r="I906" s="13"/>
      <c r="J906" s="11" t="s">
        <v>3848</v>
      </c>
      <c r="K906" s="12" t="s">
        <v>3997</v>
      </c>
      <c r="L906" s="12"/>
      <c r="M906" s="11" t="s">
        <v>50</v>
      </c>
      <c r="N906" s="12" t="s">
        <v>51</v>
      </c>
      <c r="O906" s="11" t="s">
        <v>27</v>
      </c>
      <c r="P906" s="11" t="s">
        <v>52</v>
      </c>
      <c r="Q906" s="12" t="s">
        <v>3997</v>
      </c>
    </row>
    <row r="907" customFormat="false" ht="15" hidden="false" customHeight="false" outlineLevel="0" collapsed="false">
      <c r="A907" s="11" t="s">
        <v>3998</v>
      </c>
      <c r="B907" s="11" t="s">
        <v>20</v>
      </c>
      <c r="C907" s="11" t="s">
        <v>3979</v>
      </c>
      <c r="D907" s="12" t="s">
        <v>3999</v>
      </c>
      <c r="E907" s="12" t="s">
        <v>3925</v>
      </c>
      <c r="F907" s="12" t="s">
        <v>3999</v>
      </c>
      <c r="G907" s="11" t="s">
        <v>3981</v>
      </c>
      <c r="H907" s="11" t="s">
        <v>4</v>
      </c>
      <c r="I907" s="13"/>
      <c r="J907" s="11" t="s">
        <v>3848</v>
      </c>
      <c r="K907" s="12" t="s">
        <v>4000</v>
      </c>
      <c r="L907" s="12"/>
      <c r="M907" s="11" t="s">
        <v>50</v>
      </c>
      <c r="N907" s="12" t="s">
        <v>51</v>
      </c>
      <c r="O907" s="11" t="s">
        <v>27</v>
      </c>
      <c r="P907" s="11" t="s">
        <v>52</v>
      </c>
      <c r="Q907" s="12" t="s">
        <v>4000</v>
      </c>
    </row>
    <row r="908" customFormat="false" ht="32.8" hidden="false" customHeight="false" outlineLevel="0" collapsed="false">
      <c r="A908" s="11" t="s">
        <v>4001</v>
      </c>
      <c r="B908" s="11" t="s">
        <v>20</v>
      </c>
      <c r="C908" s="11" t="s">
        <v>3979</v>
      </c>
      <c r="D908" s="12" t="s">
        <v>4002</v>
      </c>
      <c r="E908" s="12" t="s">
        <v>3935</v>
      </c>
      <c r="F908" s="12" t="s">
        <v>4002</v>
      </c>
      <c r="G908" s="11" t="s">
        <v>3981</v>
      </c>
      <c r="H908" s="11" t="s">
        <v>4</v>
      </c>
      <c r="I908" s="13" t="n">
        <v>0.875</v>
      </c>
      <c r="J908" s="11" t="s">
        <v>3905</v>
      </c>
      <c r="K908" s="12" t="s">
        <v>778</v>
      </c>
      <c r="L908" s="12"/>
      <c r="M908" s="11" t="s">
        <v>50</v>
      </c>
      <c r="N908" s="12" t="s">
        <v>51</v>
      </c>
      <c r="O908" s="11" t="s">
        <v>27</v>
      </c>
      <c r="P908" s="11" t="s">
        <v>52</v>
      </c>
      <c r="Q908" s="12" t="s">
        <v>4003</v>
      </c>
    </row>
    <row r="909" customFormat="false" ht="15" hidden="false" customHeight="false" outlineLevel="0" collapsed="false">
      <c r="A909" s="11" t="s">
        <v>4004</v>
      </c>
      <c r="B909" s="11" t="s">
        <v>20</v>
      </c>
      <c r="C909" s="11" t="s">
        <v>3979</v>
      </c>
      <c r="D909" s="12" t="s">
        <v>4005</v>
      </c>
      <c r="E909" s="12" t="s">
        <v>3968</v>
      </c>
      <c r="F909" s="12" t="s">
        <v>4005</v>
      </c>
      <c r="G909" s="11" t="s">
        <v>4006</v>
      </c>
      <c r="H909" s="11" t="s">
        <v>4</v>
      </c>
      <c r="I909" s="13"/>
      <c r="J909" s="11" t="s">
        <v>3848</v>
      </c>
      <c r="K909" s="12" t="s">
        <v>4007</v>
      </c>
      <c r="L909" s="12"/>
      <c r="M909" s="11" t="s">
        <v>50</v>
      </c>
      <c r="N909" s="12" t="s">
        <v>51</v>
      </c>
      <c r="O909" s="11" t="s">
        <v>27</v>
      </c>
      <c r="P909" s="11" t="s">
        <v>52</v>
      </c>
      <c r="Q909" s="12" t="s">
        <v>4007</v>
      </c>
    </row>
    <row r="910" customFormat="false" ht="22.35" hidden="false" customHeight="false" outlineLevel="0" collapsed="false">
      <c r="A910" s="11" t="s">
        <v>4008</v>
      </c>
      <c r="B910" s="11" t="s">
        <v>20</v>
      </c>
      <c r="C910" s="11" t="s">
        <v>3979</v>
      </c>
      <c r="D910" s="12" t="s">
        <v>4009</v>
      </c>
      <c r="E910" s="12" t="s">
        <v>3937</v>
      </c>
      <c r="F910" s="12" t="s">
        <v>4009</v>
      </c>
      <c r="G910" s="11" t="s">
        <v>3981</v>
      </c>
      <c r="H910" s="11" t="s">
        <v>4</v>
      </c>
      <c r="I910" s="13" t="n">
        <v>0.8</v>
      </c>
      <c r="J910" s="11" t="s">
        <v>3905</v>
      </c>
      <c r="K910" s="12" t="s">
        <v>881</v>
      </c>
      <c r="L910" s="12"/>
      <c r="M910" s="11" t="s">
        <v>50</v>
      </c>
      <c r="N910" s="12" t="s">
        <v>51</v>
      </c>
      <c r="O910" s="11" t="s">
        <v>27</v>
      </c>
      <c r="P910" s="11" t="s">
        <v>52</v>
      </c>
      <c r="Q910" s="12" t="s">
        <v>3973</v>
      </c>
    </row>
    <row r="911" customFormat="false" ht="15" hidden="false" customHeight="false" outlineLevel="0" collapsed="false">
      <c r="A911" s="11" t="s">
        <v>4010</v>
      </c>
      <c r="B911" s="11" t="s">
        <v>20</v>
      </c>
      <c r="C911" s="11" t="s">
        <v>3979</v>
      </c>
      <c r="D911" s="12" t="s">
        <v>4011</v>
      </c>
      <c r="E911" s="12" t="s">
        <v>3941</v>
      </c>
      <c r="F911" s="12" t="s">
        <v>4011</v>
      </c>
      <c r="G911" s="11" t="s">
        <v>4006</v>
      </c>
      <c r="H911" s="11" t="s">
        <v>4</v>
      </c>
      <c r="I911" s="13"/>
      <c r="J911" s="11" t="s">
        <v>3848</v>
      </c>
      <c r="K911" s="12" t="s">
        <v>4012</v>
      </c>
      <c r="L911" s="12"/>
      <c r="M911" s="11" t="s">
        <v>50</v>
      </c>
      <c r="N911" s="12" t="s">
        <v>51</v>
      </c>
      <c r="O911" s="11" t="s">
        <v>27</v>
      </c>
      <c r="P911" s="11" t="s">
        <v>52</v>
      </c>
      <c r="Q911" s="12" t="s">
        <v>4012</v>
      </c>
    </row>
    <row r="912" customFormat="false" ht="15" hidden="false" customHeight="false" outlineLevel="0" collapsed="false">
      <c r="A912" s="11" t="s">
        <v>4013</v>
      </c>
      <c r="B912" s="11" t="s">
        <v>20</v>
      </c>
      <c r="C912" s="11" t="s">
        <v>4014</v>
      </c>
      <c r="D912" s="12" t="s">
        <v>4015</v>
      </c>
      <c r="E912" s="12" t="s">
        <v>3903</v>
      </c>
      <c r="F912" s="12" t="s">
        <v>4015</v>
      </c>
      <c r="G912" s="11" t="s">
        <v>4016</v>
      </c>
      <c r="H912" s="11" t="s">
        <v>6</v>
      </c>
      <c r="I912" s="13"/>
      <c r="J912" s="11" t="s">
        <v>3848</v>
      </c>
      <c r="K912" s="12" t="s">
        <v>4017</v>
      </c>
      <c r="L912" s="12"/>
      <c r="M912" s="11" t="s">
        <v>50</v>
      </c>
      <c r="N912" s="12" t="s">
        <v>4018</v>
      </c>
      <c r="O912" s="11" t="s">
        <v>25</v>
      </c>
      <c r="P912" s="11" t="s">
        <v>52</v>
      </c>
      <c r="Q912" s="12" t="s">
        <v>4017</v>
      </c>
    </row>
    <row r="913" customFormat="false" ht="15" hidden="false" customHeight="false" outlineLevel="0" collapsed="false">
      <c r="A913" s="11" t="s">
        <v>4019</v>
      </c>
      <c r="B913" s="11" t="s">
        <v>20</v>
      </c>
      <c r="C913" s="11" t="s">
        <v>4014</v>
      </c>
      <c r="D913" s="12" t="s">
        <v>4020</v>
      </c>
      <c r="E913" s="12" t="s">
        <v>3903</v>
      </c>
      <c r="F913" s="12" t="s">
        <v>4020</v>
      </c>
      <c r="G913" s="11" t="s">
        <v>4016</v>
      </c>
      <c r="H913" s="11" t="s">
        <v>6</v>
      </c>
      <c r="I913" s="13"/>
      <c r="J913" s="11" t="s">
        <v>3848</v>
      </c>
      <c r="K913" s="12" t="s">
        <v>4017</v>
      </c>
      <c r="L913" s="12"/>
      <c r="M913" s="11" t="s">
        <v>50</v>
      </c>
      <c r="N913" s="12" t="s">
        <v>4018</v>
      </c>
      <c r="O913" s="11" t="s">
        <v>25</v>
      </c>
      <c r="P913" s="11" t="s">
        <v>52</v>
      </c>
      <c r="Q913" s="12" t="s">
        <v>4017</v>
      </c>
    </row>
    <row r="914" customFormat="false" ht="15" hidden="false" customHeight="false" outlineLevel="0" collapsed="false">
      <c r="A914" s="11" t="s">
        <v>4021</v>
      </c>
      <c r="B914" s="11" t="s">
        <v>20</v>
      </c>
      <c r="C914" s="11" t="s">
        <v>4014</v>
      </c>
      <c r="D914" s="12" t="s">
        <v>4022</v>
      </c>
      <c r="E914" s="12" t="s">
        <v>3908</v>
      </c>
      <c r="F914" s="12" t="s">
        <v>4022</v>
      </c>
      <c r="G914" s="11" t="s">
        <v>4016</v>
      </c>
      <c r="H914" s="11" t="s">
        <v>6</v>
      </c>
      <c r="I914" s="13"/>
      <c r="J914" s="11" t="s">
        <v>3848</v>
      </c>
      <c r="K914" s="12" t="s">
        <v>4017</v>
      </c>
      <c r="L914" s="12"/>
      <c r="M914" s="11" t="s">
        <v>50</v>
      </c>
      <c r="N914" s="12" t="s">
        <v>4018</v>
      </c>
      <c r="O914" s="11" t="s">
        <v>25</v>
      </c>
      <c r="P914" s="11" t="s">
        <v>52</v>
      </c>
      <c r="Q914" s="12" t="s">
        <v>4017</v>
      </c>
    </row>
    <row r="915" customFormat="false" ht="15" hidden="false" customHeight="false" outlineLevel="0" collapsed="false">
      <c r="A915" s="11" t="s">
        <v>4023</v>
      </c>
      <c r="B915" s="11" t="s">
        <v>20</v>
      </c>
      <c r="C915" s="11" t="s">
        <v>4014</v>
      </c>
      <c r="D915" s="12" t="s">
        <v>4024</v>
      </c>
      <c r="E915" s="12" t="s">
        <v>3911</v>
      </c>
      <c r="F915" s="12" t="s">
        <v>4024</v>
      </c>
      <c r="G915" s="11" t="s">
        <v>4016</v>
      </c>
      <c r="H915" s="11" t="s">
        <v>6</v>
      </c>
      <c r="I915" s="13"/>
      <c r="J915" s="11" t="s">
        <v>3848</v>
      </c>
      <c r="K915" s="12" t="s">
        <v>4017</v>
      </c>
      <c r="L915" s="12"/>
      <c r="M915" s="11" t="s">
        <v>50</v>
      </c>
      <c r="N915" s="12" t="s">
        <v>4018</v>
      </c>
      <c r="O915" s="11" t="s">
        <v>25</v>
      </c>
      <c r="P915" s="11" t="s">
        <v>52</v>
      </c>
      <c r="Q915" s="12" t="s">
        <v>4017</v>
      </c>
    </row>
    <row r="916" customFormat="false" ht="15" hidden="false" customHeight="false" outlineLevel="0" collapsed="false">
      <c r="A916" s="11" t="s">
        <v>4025</v>
      </c>
      <c r="B916" s="11" t="s">
        <v>20</v>
      </c>
      <c r="C916" s="11" t="s">
        <v>4014</v>
      </c>
      <c r="D916" s="12" t="s">
        <v>4026</v>
      </c>
      <c r="E916" s="12" t="s">
        <v>3925</v>
      </c>
      <c r="F916" s="12" t="s">
        <v>4026</v>
      </c>
      <c r="G916" s="11" t="s">
        <v>4016</v>
      </c>
      <c r="H916" s="11" t="s">
        <v>6</v>
      </c>
      <c r="I916" s="13"/>
      <c r="J916" s="11" t="s">
        <v>3848</v>
      </c>
      <c r="K916" s="12" t="s">
        <v>4017</v>
      </c>
      <c r="L916" s="12"/>
      <c r="M916" s="11" t="s">
        <v>50</v>
      </c>
      <c r="N916" s="12" t="s">
        <v>4018</v>
      </c>
      <c r="O916" s="11" t="s">
        <v>25</v>
      </c>
      <c r="P916" s="11" t="s">
        <v>52</v>
      </c>
      <c r="Q916" s="12" t="s">
        <v>4017</v>
      </c>
    </row>
    <row r="917" customFormat="false" ht="15" hidden="false" customHeight="false" outlineLevel="0" collapsed="false">
      <c r="A917" s="11" t="s">
        <v>4027</v>
      </c>
      <c r="B917" s="11" t="s">
        <v>19</v>
      </c>
      <c r="C917" s="11" t="s">
        <v>4028</v>
      </c>
      <c r="D917" s="12" t="s">
        <v>4029</v>
      </c>
      <c r="E917" s="12" t="s">
        <v>19</v>
      </c>
      <c r="F917" s="12" t="s">
        <v>4029</v>
      </c>
      <c r="G917" s="11" t="s">
        <v>4030</v>
      </c>
      <c r="H917" s="11" t="s">
        <v>6</v>
      </c>
      <c r="I917" s="13"/>
      <c r="J917" s="11" t="s">
        <v>3848</v>
      </c>
      <c r="K917" s="12"/>
      <c r="L917" s="12"/>
      <c r="M917" s="11" t="s">
        <v>1809</v>
      </c>
      <c r="N917" s="12" t="s">
        <v>3204</v>
      </c>
      <c r="O917" s="11" t="s">
        <v>26</v>
      </c>
      <c r="P917" s="11" t="s">
        <v>52</v>
      </c>
      <c r="Q917" s="12" t="s">
        <v>4031</v>
      </c>
    </row>
    <row r="918" customFormat="false" ht="22.35" hidden="false" customHeight="false" outlineLevel="0" collapsed="false">
      <c r="A918" s="11" t="s">
        <v>4032</v>
      </c>
      <c r="B918" s="11" t="s">
        <v>19</v>
      </c>
      <c r="C918" s="11" t="s">
        <v>4028</v>
      </c>
      <c r="D918" s="12" t="s">
        <v>4033</v>
      </c>
      <c r="E918" s="12" t="s">
        <v>19</v>
      </c>
      <c r="F918" s="12" t="s">
        <v>4033</v>
      </c>
      <c r="G918" s="11" t="s">
        <v>4030</v>
      </c>
      <c r="H918" s="11" t="s">
        <v>6</v>
      </c>
      <c r="I918" s="13"/>
      <c r="J918" s="11" t="s">
        <v>3848</v>
      </c>
      <c r="K918" s="12"/>
      <c r="L918" s="12"/>
      <c r="M918" s="11" t="s">
        <v>1809</v>
      </c>
      <c r="N918" s="12" t="s">
        <v>3204</v>
      </c>
      <c r="O918" s="11" t="s">
        <v>26</v>
      </c>
      <c r="P918" s="11" t="s">
        <v>52</v>
      </c>
      <c r="Q918" s="12" t="s">
        <v>4034</v>
      </c>
    </row>
    <row r="919" customFormat="false" ht="15" hidden="false" customHeight="false" outlineLevel="0" collapsed="false">
      <c r="A919" s="11" t="s">
        <v>4035</v>
      </c>
      <c r="B919" s="11" t="s">
        <v>19</v>
      </c>
      <c r="C919" s="11" t="s">
        <v>4028</v>
      </c>
      <c r="D919" s="12" t="s">
        <v>4036</v>
      </c>
      <c r="E919" s="12" t="s">
        <v>19</v>
      </c>
      <c r="F919" s="12" t="s">
        <v>4036</v>
      </c>
      <c r="G919" s="11" t="s">
        <v>4030</v>
      </c>
      <c r="H919" s="11" t="s">
        <v>9</v>
      </c>
      <c r="I919" s="13"/>
      <c r="J919" s="11" t="s">
        <v>3848</v>
      </c>
      <c r="K919" s="12"/>
      <c r="L919" s="12"/>
      <c r="M919" s="11" t="s">
        <v>1809</v>
      </c>
      <c r="N919" s="12" t="s">
        <v>51</v>
      </c>
      <c r="O919" s="11" t="s">
        <v>28</v>
      </c>
      <c r="P919" s="11" t="s">
        <v>52</v>
      </c>
      <c r="Q919" s="12" t="s">
        <v>4037</v>
      </c>
    </row>
    <row r="920" customFormat="false" ht="15" hidden="false" customHeight="false" outlineLevel="0" collapsed="false">
      <c r="A920" s="11" t="s">
        <v>4038</v>
      </c>
      <c r="B920" s="11" t="s">
        <v>19</v>
      </c>
      <c r="C920" s="11" t="s">
        <v>4028</v>
      </c>
      <c r="D920" s="12" t="s">
        <v>4039</v>
      </c>
      <c r="E920" s="12" t="s">
        <v>19</v>
      </c>
      <c r="F920" s="12" t="s">
        <v>4039</v>
      </c>
      <c r="G920" s="11" t="s">
        <v>3899</v>
      </c>
      <c r="H920" s="11" t="s">
        <v>9</v>
      </c>
      <c r="I920" s="13"/>
      <c r="J920" s="11" t="s">
        <v>3848</v>
      </c>
      <c r="K920" s="12"/>
      <c r="L920" s="12"/>
      <c r="M920" s="11" t="s">
        <v>1809</v>
      </c>
      <c r="N920" s="12" t="s">
        <v>51</v>
      </c>
      <c r="O920" s="11" t="s">
        <v>28</v>
      </c>
      <c r="P920" s="11" t="s">
        <v>52</v>
      </c>
      <c r="Q920" s="12" t="s">
        <v>4040</v>
      </c>
    </row>
    <row r="921" customFormat="false" ht="15" hidden="false" customHeight="false" outlineLevel="0" collapsed="false">
      <c r="A921" s="11" t="s">
        <v>4041</v>
      </c>
      <c r="B921" s="11" t="s">
        <v>21</v>
      </c>
      <c r="C921" s="11" t="s">
        <v>4042</v>
      </c>
      <c r="D921" s="12" t="s">
        <v>4043</v>
      </c>
      <c r="E921" s="12" t="s">
        <v>4043</v>
      </c>
      <c r="F921" s="12" t="s">
        <v>4043</v>
      </c>
      <c r="G921" s="11" t="s">
        <v>2098</v>
      </c>
      <c r="H921" s="11" t="s">
        <v>4</v>
      </c>
      <c r="I921" s="13"/>
      <c r="J921" s="11" t="s">
        <v>3848</v>
      </c>
      <c r="K921" s="12" t="s">
        <v>4044</v>
      </c>
      <c r="L921" s="12"/>
      <c r="M921" s="11" t="s">
        <v>50</v>
      </c>
      <c r="N921" s="12" t="s">
        <v>51</v>
      </c>
      <c r="O921" s="11" t="s">
        <v>27</v>
      </c>
      <c r="P921" s="11" t="s">
        <v>52</v>
      </c>
      <c r="Q921" s="12"/>
    </row>
    <row r="922" customFormat="false" ht="15" hidden="false" customHeight="false" outlineLevel="0" collapsed="false">
      <c r="A922" s="11" t="s">
        <v>4045</v>
      </c>
      <c r="B922" s="11" t="s">
        <v>21</v>
      </c>
      <c r="C922" s="11" t="s">
        <v>4042</v>
      </c>
      <c r="D922" s="12" t="s">
        <v>4046</v>
      </c>
      <c r="E922" s="12" t="s">
        <v>4046</v>
      </c>
      <c r="F922" s="12" t="s">
        <v>4046</v>
      </c>
      <c r="G922" s="11" t="s">
        <v>2098</v>
      </c>
      <c r="H922" s="11" t="s">
        <v>4</v>
      </c>
      <c r="I922" s="13"/>
      <c r="J922" s="11" t="s">
        <v>3848</v>
      </c>
      <c r="K922" s="12" t="s">
        <v>4047</v>
      </c>
      <c r="L922" s="12"/>
      <c r="M922" s="11" t="s">
        <v>50</v>
      </c>
      <c r="N922" s="12" t="s">
        <v>51</v>
      </c>
      <c r="O922" s="11" t="s">
        <v>27</v>
      </c>
      <c r="P922" s="11" t="s">
        <v>52</v>
      </c>
      <c r="Q922" s="12"/>
    </row>
    <row r="923" customFormat="false" ht="15" hidden="false" customHeight="false" outlineLevel="0" collapsed="false">
      <c r="A923" s="11" t="s">
        <v>4048</v>
      </c>
      <c r="B923" s="11" t="s">
        <v>21</v>
      </c>
      <c r="C923" s="11" t="s">
        <v>4042</v>
      </c>
      <c r="D923" s="12" t="s">
        <v>4049</v>
      </c>
      <c r="E923" s="12" t="s">
        <v>4049</v>
      </c>
      <c r="F923" s="12" t="s">
        <v>4049</v>
      </c>
      <c r="G923" s="11" t="s">
        <v>2098</v>
      </c>
      <c r="H923" s="11" t="s">
        <v>4</v>
      </c>
      <c r="I923" s="13"/>
      <c r="J923" s="11" t="s">
        <v>3848</v>
      </c>
      <c r="K923" s="12" t="s">
        <v>4047</v>
      </c>
      <c r="L923" s="12"/>
      <c r="M923" s="11" t="s">
        <v>50</v>
      </c>
      <c r="N923" s="12" t="s">
        <v>51</v>
      </c>
      <c r="O923" s="11" t="s">
        <v>27</v>
      </c>
      <c r="P923" s="11" t="s">
        <v>52</v>
      </c>
      <c r="Q923" s="12"/>
    </row>
    <row r="924" customFormat="false" ht="15" hidden="false" customHeight="false" outlineLevel="0" collapsed="false">
      <c r="A924" s="11" t="s">
        <v>4050</v>
      </c>
      <c r="B924" s="11" t="s">
        <v>21</v>
      </c>
      <c r="C924" s="11" t="s">
        <v>4042</v>
      </c>
      <c r="D924" s="12" t="s">
        <v>4051</v>
      </c>
      <c r="E924" s="12" t="s">
        <v>4051</v>
      </c>
      <c r="F924" s="12" t="s">
        <v>4051</v>
      </c>
      <c r="G924" s="11" t="s">
        <v>2098</v>
      </c>
      <c r="H924" s="11" t="s">
        <v>4</v>
      </c>
      <c r="I924" s="13"/>
      <c r="J924" s="11" t="s">
        <v>3848</v>
      </c>
      <c r="K924" s="12" t="s">
        <v>3860</v>
      </c>
      <c r="L924" s="12"/>
      <c r="M924" s="11" t="s">
        <v>50</v>
      </c>
      <c r="N924" s="12" t="s">
        <v>51</v>
      </c>
      <c r="O924" s="11" t="s">
        <v>27</v>
      </c>
      <c r="P924" s="11" t="s">
        <v>52</v>
      </c>
      <c r="Q924" s="12"/>
    </row>
    <row r="925" customFormat="false" ht="15" hidden="false" customHeight="false" outlineLevel="0" collapsed="false">
      <c r="A925" s="11" t="s">
        <v>4052</v>
      </c>
      <c r="B925" s="11" t="s">
        <v>21</v>
      </c>
      <c r="C925" s="11" t="s">
        <v>4042</v>
      </c>
      <c r="D925" s="12" t="s">
        <v>4053</v>
      </c>
      <c r="E925" s="12" t="s">
        <v>4053</v>
      </c>
      <c r="F925" s="12" t="s">
        <v>4053</v>
      </c>
      <c r="G925" s="11" t="s">
        <v>2098</v>
      </c>
      <c r="H925" s="11" t="s">
        <v>4</v>
      </c>
      <c r="I925" s="13"/>
      <c r="J925" s="11" t="s">
        <v>3848</v>
      </c>
      <c r="K925" s="12" t="s">
        <v>4054</v>
      </c>
      <c r="L925" s="12"/>
      <c r="M925" s="11" t="s">
        <v>50</v>
      </c>
      <c r="N925" s="12" t="s">
        <v>51</v>
      </c>
      <c r="O925" s="11" t="s">
        <v>27</v>
      </c>
      <c r="P925" s="11" t="s">
        <v>52</v>
      </c>
      <c r="Q925" s="12"/>
    </row>
    <row r="926" customFormat="false" ht="15" hidden="false" customHeight="false" outlineLevel="0" collapsed="false">
      <c r="A926" s="11" t="s">
        <v>4055</v>
      </c>
      <c r="B926" s="11" t="s">
        <v>21</v>
      </c>
      <c r="C926" s="11" t="s">
        <v>4042</v>
      </c>
      <c r="D926" s="12" t="s">
        <v>4056</v>
      </c>
      <c r="E926" s="12" t="s">
        <v>4056</v>
      </c>
      <c r="F926" s="12" t="s">
        <v>4056</v>
      </c>
      <c r="G926" s="11" t="s">
        <v>2098</v>
      </c>
      <c r="H926" s="11" t="s">
        <v>4</v>
      </c>
      <c r="I926" s="13"/>
      <c r="J926" s="11" t="s">
        <v>3848</v>
      </c>
      <c r="K926" s="12" t="s">
        <v>4057</v>
      </c>
      <c r="L926" s="12"/>
      <c r="M926" s="11" t="s">
        <v>50</v>
      </c>
      <c r="N926" s="12" t="s">
        <v>51</v>
      </c>
      <c r="O926" s="11" t="s">
        <v>27</v>
      </c>
      <c r="P926" s="11" t="s">
        <v>52</v>
      </c>
      <c r="Q926" s="12"/>
    </row>
    <row r="927" customFormat="false" ht="15" hidden="false" customHeight="false" outlineLevel="0" collapsed="false">
      <c r="A927" s="11" t="s">
        <v>4058</v>
      </c>
      <c r="B927" s="11" t="s">
        <v>21</v>
      </c>
      <c r="C927" s="11" t="s">
        <v>4042</v>
      </c>
      <c r="D927" s="12" t="s">
        <v>4059</v>
      </c>
      <c r="E927" s="12" t="s">
        <v>4059</v>
      </c>
      <c r="F927" s="12" t="s">
        <v>4059</v>
      </c>
      <c r="G927" s="11" t="s">
        <v>2098</v>
      </c>
      <c r="H927" s="11" t="s">
        <v>4</v>
      </c>
      <c r="I927" s="13"/>
      <c r="J927" s="11" t="s">
        <v>3848</v>
      </c>
      <c r="K927" s="12" t="s">
        <v>4060</v>
      </c>
      <c r="L927" s="12"/>
      <c r="M927" s="11" t="s">
        <v>50</v>
      </c>
      <c r="N927" s="12" t="s">
        <v>51</v>
      </c>
      <c r="O927" s="11" t="s">
        <v>27</v>
      </c>
      <c r="P927" s="11" t="s">
        <v>52</v>
      </c>
      <c r="Q927" s="12"/>
    </row>
    <row r="928" customFormat="false" ht="22.35" hidden="false" customHeight="false" outlineLevel="0" collapsed="false">
      <c r="A928" s="11" t="s">
        <v>4061</v>
      </c>
      <c r="B928" s="11" t="s">
        <v>21</v>
      </c>
      <c r="C928" s="11" t="s">
        <v>4042</v>
      </c>
      <c r="D928" s="12" t="s">
        <v>4062</v>
      </c>
      <c r="E928" s="12" t="s">
        <v>4063</v>
      </c>
      <c r="F928" s="12" t="s">
        <v>4062</v>
      </c>
      <c r="G928" s="11" t="s">
        <v>2098</v>
      </c>
      <c r="H928" s="11" t="s">
        <v>4</v>
      </c>
      <c r="I928" s="13"/>
      <c r="J928" s="11" t="s">
        <v>3848</v>
      </c>
      <c r="K928" s="12" t="s">
        <v>4064</v>
      </c>
      <c r="L928" s="12"/>
      <c r="M928" s="11" t="s">
        <v>50</v>
      </c>
      <c r="N928" s="12" t="s">
        <v>51</v>
      </c>
      <c r="O928" s="11" t="s">
        <v>27</v>
      </c>
      <c r="P928" s="11" t="s">
        <v>52</v>
      </c>
      <c r="Q928" s="12"/>
    </row>
    <row r="929" customFormat="false" ht="22.35" hidden="false" customHeight="false" outlineLevel="0" collapsed="false">
      <c r="A929" s="11" t="s">
        <v>4065</v>
      </c>
      <c r="B929" s="11" t="s">
        <v>21</v>
      </c>
      <c r="C929" s="11" t="s">
        <v>4042</v>
      </c>
      <c r="D929" s="12" t="s">
        <v>4066</v>
      </c>
      <c r="E929" s="12" t="s">
        <v>4063</v>
      </c>
      <c r="F929" s="12" t="s">
        <v>4066</v>
      </c>
      <c r="G929" s="11" t="s">
        <v>2098</v>
      </c>
      <c r="H929" s="11" t="s">
        <v>4</v>
      </c>
      <c r="I929" s="13"/>
      <c r="J929" s="11" t="s">
        <v>3848</v>
      </c>
      <c r="K929" s="12" t="s">
        <v>4047</v>
      </c>
      <c r="L929" s="12"/>
      <c r="M929" s="11" t="s">
        <v>50</v>
      </c>
      <c r="N929" s="12" t="s">
        <v>51</v>
      </c>
      <c r="O929" s="11" t="s">
        <v>27</v>
      </c>
      <c r="P929" s="11" t="s">
        <v>52</v>
      </c>
      <c r="Q929" s="12"/>
    </row>
    <row r="930" customFormat="false" ht="22.35" hidden="false" customHeight="false" outlineLevel="0" collapsed="false">
      <c r="A930" s="11" t="s">
        <v>4067</v>
      </c>
      <c r="B930" s="11" t="s">
        <v>21</v>
      </c>
      <c r="C930" s="11" t="s">
        <v>4042</v>
      </c>
      <c r="D930" s="12" t="s">
        <v>4068</v>
      </c>
      <c r="E930" s="12" t="s">
        <v>4063</v>
      </c>
      <c r="F930" s="12" t="s">
        <v>4068</v>
      </c>
      <c r="G930" s="11" t="s">
        <v>2098</v>
      </c>
      <c r="H930" s="11" t="s">
        <v>4</v>
      </c>
      <c r="I930" s="13"/>
      <c r="J930" s="11" t="s">
        <v>3848</v>
      </c>
      <c r="K930" s="12" t="s">
        <v>4047</v>
      </c>
      <c r="L930" s="12"/>
      <c r="M930" s="11" t="s">
        <v>50</v>
      </c>
      <c r="N930" s="12" t="s">
        <v>51</v>
      </c>
      <c r="O930" s="11" t="s">
        <v>27</v>
      </c>
      <c r="P930" s="11" t="s">
        <v>52</v>
      </c>
      <c r="Q930" s="12"/>
    </row>
    <row r="931" customFormat="false" ht="22.35" hidden="false" customHeight="false" outlineLevel="0" collapsed="false">
      <c r="A931" s="11" t="s">
        <v>4069</v>
      </c>
      <c r="B931" s="11" t="s">
        <v>21</v>
      </c>
      <c r="C931" s="11" t="s">
        <v>4042</v>
      </c>
      <c r="D931" s="12" t="s">
        <v>4070</v>
      </c>
      <c r="E931" s="12" t="s">
        <v>4063</v>
      </c>
      <c r="F931" s="12" t="s">
        <v>4070</v>
      </c>
      <c r="G931" s="11" t="s">
        <v>2098</v>
      </c>
      <c r="H931" s="11" t="s">
        <v>4</v>
      </c>
      <c r="I931" s="13"/>
      <c r="J931" s="11" t="s">
        <v>3848</v>
      </c>
      <c r="K931" s="12" t="s">
        <v>4071</v>
      </c>
      <c r="L931" s="12"/>
      <c r="M931" s="11" t="s">
        <v>50</v>
      </c>
      <c r="N931" s="12" t="s">
        <v>51</v>
      </c>
      <c r="O931" s="11" t="s">
        <v>27</v>
      </c>
      <c r="P931" s="11" t="s">
        <v>52</v>
      </c>
      <c r="Q931" s="12"/>
    </row>
    <row r="932" customFormat="false" ht="22.35" hidden="false" customHeight="false" outlineLevel="0" collapsed="false">
      <c r="A932" s="11" t="s">
        <v>4072</v>
      </c>
      <c r="B932" s="11" t="s">
        <v>21</v>
      </c>
      <c r="C932" s="11" t="s">
        <v>4042</v>
      </c>
      <c r="D932" s="12" t="s">
        <v>4073</v>
      </c>
      <c r="E932" s="12" t="s">
        <v>4063</v>
      </c>
      <c r="F932" s="12" t="s">
        <v>4073</v>
      </c>
      <c r="G932" s="11" t="s">
        <v>2098</v>
      </c>
      <c r="H932" s="11" t="s">
        <v>4</v>
      </c>
      <c r="I932" s="13"/>
      <c r="J932" s="11" t="s">
        <v>3848</v>
      </c>
      <c r="K932" s="12" t="s">
        <v>4074</v>
      </c>
      <c r="L932" s="12"/>
      <c r="M932" s="11" t="s">
        <v>50</v>
      </c>
      <c r="N932" s="12" t="s">
        <v>51</v>
      </c>
      <c r="O932" s="11" t="s">
        <v>27</v>
      </c>
      <c r="P932" s="11" t="s">
        <v>52</v>
      </c>
      <c r="Q932" s="12"/>
    </row>
    <row r="933" customFormat="false" ht="22.35" hidden="false" customHeight="false" outlineLevel="0" collapsed="false">
      <c r="A933" s="11" t="s">
        <v>4075</v>
      </c>
      <c r="B933" s="11" t="s">
        <v>21</v>
      </c>
      <c r="C933" s="11" t="s">
        <v>4042</v>
      </c>
      <c r="D933" s="12" t="s">
        <v>4076</v>
      </c>
      <c r="E933" s="12" t="s">
        <v>4063</v>
      </c>
      <c r="F933" s="12" t="s">
        <v>4076</v>
      </c>
      <c r="G933" s="11" t="s">
        <v>2098</v>
      </c>
      <c r="H933" s="11" t="s">
        <v>4</v>
      </c>
      <c r="I933" s="13"/>
      <c r="J933" s="11" t="s">
        <v>3848</v>
      </c>
      <c r="K933" s="12" t="s">
        <v>4077</v>
      </c>
      <c r="L933" s="12"/>
      <c r="M933" s="11" t="s">
        <v>50</v>
      </c>
      <c r="N933" s="12" t="s">
        <v>51</v>
      </c>
      <c r="O933" s="11" t="s">
        <v>27</v>
      </c>
      <c r="P933" s="11" t="s">
        <v>52</v>
      </c>
      <c r="Q933" s="12"/>
    </row>
    <row r="934" customFormat="false" ht="22.35" hidden="false" customHeight="false" outlineLevel="0" collapsed="false">
      <c r="A934" s="11" t="s">
        <v>4078</v>
      </c>
      <c r="B934" s="11" t="s">
        <v>21</v>
      </c>
      <c r="C934" s="11" t="s">
        <v>4042</v>
      </c>
      <c r="D934" s="12" t="s">
        <v>4079</v>
      </c>
      <c r="E934" s="12" t="s">
        <v>4063</v>
      </c>
      <c r="F934" s="12" t="s">
        <v>4079</v>
      </c>
      <c r="G934" s="11" t="s">
        <v>2098</v>
      </c>
      <c r="H934" s="11" t="s">
        <v>4</v>
      </c>
      <c r="I934" s="13"/>
      <c r="J934" s="11" t="s">
        <v>3848</v>
      </c>
      <c r="K934" s="12" t="s">
        <v>4080</v>
      </c>
      <c r="L934" s="12"/>
      <c r="M934" s="11" t="s">
        <v>50</v>
      </c>
      <c r="N934" s="12" t="s">
        <v>51</v>
      </c>
      <c r="O934" s="11" t="s">
        <v>27</v>
      </c>
      <c r="P934" s="11" t="s">
        <v>52</v>
      </c>
      <c r="Q934" s="12"/>
    </row>
    <row r="935" customFormat="false" ht="15" hidden="false" customHeight="false" outlineLevel="0" collapsed="false">
      <c r="A935" s="11" t="s">
        <v>4081</v>
      </c>
      <c r="B935" s="11" t="s">
        <v>21</v>
      </c>
      <c r="C935" s="11" t="s">
        <v>4042</v>
      </c>
      <c r="D935" s="12" t="s">
        <v>4082</v>
      </c>
      <c r="E935" s="12" t="s">
        <v>4082</v>
      </c>
      <c r="F935" s="12" t="s">
        <v>4082</v>
      </c>
      <c r="G935" s="11" t="s">
        <v>4083</v>
      </c>
      <c r="H935" s="11" t="s">
        <v>9</v>
      </c>
      <c r="I935" s="13"/>
      <c r="J935" s="11" t="s">
        <v>3848</v>
      </c>
      <c r="K935" s="12" t="s">
        <v>4084</v>
      </c>
      <c r="L935" s="12"/>
      <c r="M935" s="11" t="s">
        <v>1809</v>
      </c>
      <c r="N935" s="12" t="s">
        <v>51</v>
      </c>
      <c r="O935" s="11" t="s">
        <v>28</v>
      </c>
      <c r="P935" s="11" t="s">
        <v>52</v>
      </c>
      <c r="Q935" s="12"/>
    </row>
    <row r="936" customFormat="false" ht="15" hidden="false" customHeight="false" outlineLevel="0" collapsed="false">
      <c r="A936" s="11" t="s">
        <v>4085</v>
      </c>
      <c r="B936" s="11" t="s">
        <v>21</v>
      </c>
      <c r="C936" s="11" t="s">
        <v>4042</v>
      </c>
      <c r="D936" s="12" t="s">
        <v>4086</v>
      </c>
      <c r="E936" s="12" t="s">
        <v>4086</v>
      </c>
      <c r="F936" s="12" t="s">
        <v>4086</v>
      </c>
      <c r="G936" s="11" t="s">
        <v>4030</v>
      </c>
      <c r="H936" s="11" t="s">
        <v>9</v>
      </c>
      <c r="I936" s="13"/>
      <c r="J936" s="11" t="s">
        <v>3848</v>
      </c>
      <c r="K936" s="12" t="s">
        <v>4087</v>
      </c>
      <c r="L936" s="12"/>
      <c r="M936" s="11" t="s">
        <v>1809</v>
      </c>
      <c r="N936" s="12" t="s">
        <v>51</v>
      </c>
      <c r="O936" s="11" t="s">
        <v>28</v>
      </c>
      <c r="P936" s="11" t="s">
        <v>52</v>
      </c>
      <c r="Q936" s="12"/>
    </row>
    <row r="937" customFormat="false" ht="22.35" hidden="false" customHeight="false" outlineLevel="0" collapsed="false">
      <c r="A937" s="11" t="s">
        <v>4088</v>
      </c>
      <c r="B937" s="11" t="s">
        <v>22</v>
      </c>
      <c r="C937" s="11" t="s">
        <v>4089</v>
      </c>
      <c r="D937" s="12" t="s">
        <v>4090</v>
      </c>
      <c r="E937" s="12" t="s">
        <v>4091</v>
      </c>
      <c r="F937" s="12" t="s">
        <v>4092</v>
      </c>
      <c r="G937" s="11" t="s">
        <v>4093</v>
      </c>
      <c r="H937" s="11" t="s">
        <v>4</v>
      </c>
      <c r="I937" s="13"/>
      <c r="J937" s="11" t="s">
        <v>3848</v>
      </c>
      <c r="K937" s="12" t="s">
        <v>4094</v>
      </c>
      <c r="L937" s="12"/>
      <c r="M937" s="11" t="s">
        <v>50</v>
      </c>
      <c r="N937" s="12" t="s">
        <v>51</v>
      </c>
      <c r="O937" s="11" t="s">
        <v>27</v>
      </c>
      <c r="P937" s="11" t="s">
        <v>52</v>
      </c>
      <c r="Q937" s="12" t="s">
        <v>4095</v>
      </c>
    </row>
    <row r="938" customFormat="false" ht="15" hidden="false" customHeight="false" outlineLevel="0" collapsed="false">
      <c r="A938" s="11" t="s">
        <v>4096</v>
      </c>
      <c r="B938" s="11" t="s">
        <v>22</v>
      </c>
      <c r="C938" s="11" t="s">
        <v>4089</v>
      </c>
      <c r="D938" s="12" t="s">
        <v>4097</v>
      </c>
      <c r="E938" s="12" t="s">
        <v>4098</v>
      </c>
      <c r="F938" s="12" t="s">
        <v>4099</v>
      </c>
      <c r="G938" s="11" t="s">
        <v>4100</v>
      </c>
      <c r="H938" s="11" t="s">
        <v>6</v>
      </c>
      <c r="I938" s="13"/>
      <c r="J938" s="11" t="s">
        <v>3848</v>
      </c>
      <c r="K938" s="12"/>
      <c r="L938" s="12"/>
      <c r="M938" s="11" t="s">
        <v>1809</v>
      </c>
      <c r="N938" s="12" t="s">
        <v>3204</v>
      </c>
      <c r="O938" s="11" t="s">
        <v>26</v>
      </c>
      <c r="P938" s="11" t="s">
        <v>52</v>
      </c>
      <c r="Q938" s="12" t="s">
        <v>4101</v>
      </c>
    </row>
  </sheetData>
  <autoFilter ref="A1:Q938"/>
  <conditionalFormatting sqref="H2:H938">
    <cfRule type="cellIs" priority="2" operator="equal" aboveAverage="0" equalAverage="0" bottom="0" percent="0" rank="0" text="" dxfId="8">
      <formula>"Covered"</formula>
    </cfRule>
    <cfRule type="cellIs" priority="3" operator="equal" aboveAverage="0" equalAverage="0" bottom="0" percent="0" rank="0" text="" dxfId="9">
      <formula>"Partly covered"</formula>
    </cfRule>
    <cfRule type="cellIs" priority="4" operator="equal" aboveAverage="0" equalAverage="0" bottom="0" percent="0" rank="0" text="" dxfId="10">
      <formula>"Not covered"</formula>
    </cfRule>
    <cfRule type="cellIs" priority="5" operator="equal" aboveAverage="0" equalAverage="0" bottom="0" percent="0" rank="0" text="" dxfId="10">
      <formula>"Not measured"</formula>
    </cfRule>
    <cfRule type="cellIs" priority="6" operator="equal" aboveAverage="0" equalAverage="0" bottom="0" percent="0" rank="0" text="" dxfId="11">
      <formula>"Excluded by you"</formula>
    </cfRule>
    <cfRule type="cellIs" priority="7" operator="equal" aboveAverage="0" equalAverage="0" bottom="0" percent="0" rank="0" text="" dxfId="12">
      <formula>"No teaching content"</formula>
    </cfRule>
    <cfRule type="cellIs" priority="8" operator="equal" aboveAverage="0" equalAverage="0" bottom="0" percent="0" rank="0" text="" dxfId="12">
      <formula>"Not applicable"</formula>
    </cfRule>
  </conditionalFormatting>
  <dataValidations count="2">
    <dataValidation allowBlank="true" errorStyle="stop" operator="between" showDropDown="false" showErrorMessage="false" showInputMessage="false" sqref="O2:O938" type="list">
      <formula1>"Done,To do,Needs your decision,Not needed,Skipped on purpose"</formula1>
      <formula2>0</formula2>
    </dataValidation>
    <dataValidation allowBlank="true" errorStyle="stop" operator="between" showDropDown="false" showErrorMessage="false" showInputMessage="false" sqref="H2:H938" type="list">
      <formula1>"Covered,Partly covered,Not covered,Not measured,Excluded by you,No teaching content,Not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4" t="s">
        <v>4102</v>
      </c>
      <c r="B1" s="15"/>
    </row>
    <row r="2" customFormat="false" ht="23.85" hidden="false" customHeight="false" outlineLevel="0" collapsed="false">
      <c r="A2" s="16" t="s">
        <v>4103</v>
      </c>
      <c r="B2" s="15" t="s">
        <v>4104</v>
      </c>
    </row>
    <row r="3" customFormat="false" ht="15" hidden="false" customHeight="false" outlineLevel="0" collapsed="false">
      <c r="A3" s="16" t="s">
        <v>34</v>
      </c>
      <c r="B3" s="15" t="s">
        <v>4105</v>
      </c>
    </row>
    <row r="4" customFormat="false" ht="23.85" hidden="false" customHeight="false" outlineLevel="0" collapsed="false">
      <c r="A4" s="16" t="s">
        <v>35</v>
      </c>
      <c r="B4" s="15" t="s">
        <v>4106</v>
      </c>
    </row>
    <row r="5" customFormat="false" ht="15" hidden="false" customHeight="false" outlineLevel="0" collapsed="false">
      <c r="A5" s="16" t="s">
        <v>4107</v>
      </c>
      <c r="B5" s="15" t="s">
        <v>4108</v>
      </c>
    </row>
    <row r="6" customFormat="false" ht="15" hidden="false" customHeight="false" outlineLevel="0" collapsed="false">
      <c r="A6" s="16" t="s">
        <v>4109</v>
      </c>
      <c r="B6" s="15" t="s">
        <v>4110</v>
      </c>
    </row>
    <row r="7" customFormat="false" ht="15" hidden="false" customHeight="false" outlineLevel="0" collapsed="false">
      <c r="A7" s="16" t="s">
        <v>4111</v>
      </c>
      <c r="B7" s="15" t="s">
        <v>4112</v>
      </c>
    </row>
    <row r="8" customFormat="false" ht="15" hidden="false" customHeight="false" outlineLevel="0" collapsed="false">
      <c r="A8" s="16" t="s">
        <v>4113</v>
      </c>
      <c r="B8" s="15" t="s">
        <v>4114</v>
      </c>
    </row>
    <row r="9" customFormat="false" ht="15" hidden="false" customHeight="false" outlineLevel="0" collapsed="false">
      <c r="A9" s="16" t="s">
        <v>4115</v>
      </c>
      <c r="B9" s="15" t="s">
        <v>4116</v>
      </c>
    </row>
    <row r="10" customFormat="false" ht="15" hidden="false" customHeight="false" outlineLevel="0" collapsed="false">
      <c r="A10" s="16" t="s">
        <v>4117</v>
      </c>
      <c r="B10" s="15" t="s">
        <v>4118</v>
      </c>
    </row>
    <row r="11" customFormat="false" ht="35.05" hidden="false" customHeight="false" outlineLevel="0" collapsed="false">
      <c r="A11" s="16" t="s">
        <v>36</v>
      </c>
      <c r="B11" s="15" t="s">
        <v>4119</v>
      </c>
    </row>
    <row r="12" customFormat="false" ht="15" hidden="false" customHeight="false" outlineLevel="0" collapsed="false">
      <c r="A12" s="16" t="s">
        <v>37</v>
      </c>
      <c r="B12" s="15" t="s">
        <v>4120</v>
      </c>
    </row>
    <row r="13" customFormat="false" ht="35.05" hidden="false" customHeight="false" outlineLevel="0" collapsed="false">
      <c r="A13" s="16" t="s">
        <v>4121</v>
      </c>
      <c r="B13" s="15" t="s">
        <v>4122</v>
      </c>
    </row>
    <row r="14" customFormat="false" ht="23.85" hidden="false" customHeight="false" outlineLevel="0" collapsed="false">
      <c r="A14" s="16" t="s">
        <v>42</v>
      </c>
      <c r="B14" s="15" t="s">
        <v>4123</v>
      </c>
    </row>
    <row r="15" customFormat="false" ht="23.85" hidden="false" customHeight="false" outlineLevel="0" collapsed="false">
      <c r="A15" s="16" t="s">
        <v>4124</v>
      </c>
      <c r="B15" s="15" t="s">
        <v>4125</v>
      </c>
    </row>
    <row r="16" customFormat="false" ht="35.05" hidden="false" customHeight="false" outlineLevel="0" collapsed="false">
      <c r="A16" s="16" t="s">
        <v>4126</v>
      </c>
      <c r="B16" s="15" t="s">
        <v>4127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2026-10-31T14:50:20Z</dcterms:created>
  <dc:creator>openpyxl</dc:creator>
  <dc:description/>
  <dc:language>en-US</dc:language>
  <cp:lastModifiedBy/>
  <dcterms:modified xsi:type="dcterms:W3CDTF">2026-10-31T14:50:21Z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