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y file type" sheetId="2" state="visible" r:id="rId4"/>
    <sheet name="Master" sheetId="3" state="visible" r:id="rId5"/>
  </sheets>
  <definedNames>
    <definedName function="false" hidden="true" localSheetId="2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<sst xmlns="http://schemas.openxmlformats.org/spreadsheetml/2006/main" count="4941" uniqueCount="1963">
  <si>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</si>
  <si>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</si>
  <si>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</si>
  <si>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</si>
  <si>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</si>
  <si>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</si>
  <si>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</si>
  <si>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</si>
  <si>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</si>
  <si>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</si>
  <si>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</si>
  <si>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</si>
  <si>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</si>
  <si>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</si>
  <si>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</si>
  <si>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</si>
  <si>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</si>
  <si>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</si>
  <si>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</si>
  <si>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</si>
  <si>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</si>
  <si>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</si>
  <si>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</si>
  <si>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</si>
  <si>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Master by file type (live formulas)</t>
  </si>
  <si>
    <t xml:space="preserve">Counts come from the Master sheet. The group of each extension is in column B of the lower table and can be edited. 'Not started' is what is still to do.</t>
  </si>
  <si>
    <t xml:space="preserve">By file group</t>
  </si>
  <si>
    <t xml:space="preserve">File group</t>
  </si>
  <si>
    <t xml:space="preserve">Read partly</t>
  </si>
  <si>
    <t xml:space="preserve">% touched</t>
  </si>
  <si>
    <t xml:space="preserve">Python code</t>
  </si>
  <si>
    <t xml:space="preserve">Notebooks</t>
  </si>
  <si>
    <t xml:space="preserve">Text and documents</t>
  </si>
  <si>
    <t xml:space="preserve">PDF handouts</t>
  </si>
  <si>
    <t xml:space="preserve">Web and front-end code</t>
  </si>
  <si>
    <t xml:space="preserve">Config and lock files</t>
  </si>
  <si>
    <t xml:space="preserve">Data, logs and other</t>
  </si>
  <si>
    <t xml:space="preserve">Check: Master rows minus total (should be 0)</t>
  </si>
  <si>
    <t xml:space="preserve">By file extension</t>
  </si>
  <si>
    <t xml:space="preserve">Extension</t>
  </si>
  <si>
    <t xml:space="preserve">Group</t>
  </si>
  <si>
    <t xml:space="preserve">.py</t>
  </si>
  <si>
    <t xml:space="preserve">.ipynb</t>
  </si>
  <si>
    <t xml:space="preserve">.md</t>
  </si>
  <si>
    <t xml:space="preserve">.txt</t>
  </si>
  <si>
    <t xml:space="preserve">.pdf</t>
  </si>
  <si>
    <t xml:space="preserve">.tsx</t>
  </si>
  <si>
    <t xml:space="preserve">.ts</t>
  </si>
  <si>
    <t xml:space="preserve">.js</t>
  </si>
  <si>
    <t xml:space="preserve">.css</t>
  </si>
  <si>
    <t xml:space="preserve">.html</t>
  </si>
  <si>
    <t xml:space="preserve">.toml</t>
  </si>
  <si>
    <t xml:space="preserve">.lock</t>
  </si>
  <si>
    <t xml:space="preserve">.python-version</t>
  </si>
  <si>
    <t xml:space="preserve">.gitignore</t>
  </si>
  <si>
    <t xml:space="preserve">.json</t>
  </si>
  <si>
    <t xml:space="preserve">.yml</t>
  </si>
  <si>
    <t xml:space="preserve">.example</t>
  </si>
  <si>
    <t xml:space="preserve">.dockerignore</t>
  </si>
  <si>
    <t xml:space="preserve">.gitattributes</t>
  </si>
  <si>
    <t xml:space="preserve">.log</t>
  </si>
  <si>
    <t xml:space="preserve">.db</t>
  </si>
  <si>
    <t xml:space="preserve">.zip</t>
  </si>
  <si>
    <t xml:space="preserve">.png</t>
  </si>
  <si>
    <t xml:space="preserve">.excalidraw</t>
  </si>
  <si>
    <t xml:space="preserve">(no extension, or not listed above)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</si>
  <si>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</si>
  <si>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</si>
  <si>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</si>
  <si>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</si>
  <si>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</si>
  <si>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</si>
  <si>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</si>
  <si>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</si>
  <si>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</si>
  <si>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</si>
  <si>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</si>
  <si>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</si>
  <si>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</si>
  <si>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</si>
  <si>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</si>
  <si>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</si>
  <si>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</si>
  <si>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</si>
  <si>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</si>
  <si>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</si>
  <si>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</si>
  <si>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</si>
  <si>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</si>
  <si>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</si>
  <si>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</si>
  <si>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</si>
  <si>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</si>
  <si>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</si>
  <si>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</si>
  <si>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</si>
  <si>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</si>
  <si>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MCP › Ch2 Primitives and architecture</t>
  </si>
  <si>
    <t xml:space="preserve">None</t>
  </si>
  <si>
    <t xml:space="preserve">Root duplicate of LC214, identical</t>
  </si>
  <si>
    <t xml:space="preserve">LC006</t>
  </si>
  <si>
    <t xml:space="preserve">README.md</t>
  </si>
  <si>
    <t xml:space="preserve">Complete MCP/MCP-Precoded/README.md</t>
  </si>
  <si>
    <t xml:space="preserve">MCP › Ch5 Building MCP servers (5.2, 5.3)</t>
  </si>
  <si>
    <t xml:space="preserve">Root duplicate of LC237 (checked: byte-identical)</t>
  </si>
  <si>
    <t xml:space="preserve">LC007</t>
  </si>
  <si>
    <t xml:space="preserve">recipebox_fastmcp.py</t>
  </si>
  <si>
    <t xml:space="preserve">Complete MCP/MCP-Precoded/recipebox_fastmcp.py</t>
  </si>
  <si>
    <t xml:space="preserve">MCP › Ch5 › 5.2, 5.3</t>
  </si>
  <si>
    <t xml:space="preserve">2026-11-01</t>
  </si>
  <si>
    <t xml:space="preserve">Precoded FastMCP RecipeBox; same as LC238.</t>
  </si>
  <si>
    <t xml:space="preserve">LC008</t>
  </si>
  <si>
    <t xml:space="preserve">recipebox_lowlevel.py</t>
  </si>
  <si>
    <t xml:space="preserve">Complete MCP/MCP-Precoded/recipebox_lowlevel.py</t>
  </si>
  <si>
    <t xml:space="preserve">MCP › Ch5 › 5.2</t>
  </si>
  <si>
    <t xml:space="preserve">Runs on mcp 1.30.0, fails on 2.3.0 (no Server.list_tools). Same as LC071, LC239, LC259.</t>
  </si>
  <si>
    <t xml:space="preserve">LC009</t>
  </si>
  <si>
    <t xml:space="preserve">Complete MCP/McpWarmup/.gitignore</t>
  </si>
  <si>
    <t xml:space="preserve">LC010</t>
  </si>
  <si>
    <t xml:space="preserve">Complete MCP/McpWarmup/.python-version</t>
  </si>
  <si>
    <t xml:space="preserve">LC011</t>
  </si>
  <si>
    <t xml:space="preserve">Complete MCP/McpWarmup/README.md</t>
  </si>
  <si>
    <t xml:space="preserve">MCP › Ch2 Primitives and architecture (2.8)</t>
  </si>
  <si>
    <t xml:space="preserve">Root duplicate of LC219 (checked: byte-identical)</t>
  </si>
  <si>
    <t xml:space="preserve">LC012</t>
  </si>
  <si>
    <t xml:space="preserve">mcp_server_with_primitives.py</t>
  </si>
  <si>
    <t xml:space="preserve">Complete MCP/McpWarmup/mcp_server_with_primitives.py</t>
  </si>
  <si>
    <t xml:space="preserve">MCP › Ch3 › 3.5 (primitives in code)</t>
  </si>
  <si>
    <t xml:space="preserve">Already in Ch3 (tested earlier). Same as LC077, LC264.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</si>
  <si>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</si>
  <si>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</si>
  <si>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</si>
  <si>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</si>
  <si>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</si>
  <si>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</si>
  <si>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MCP › Ch2/Ch3 (warm-up server)</t>
  </si>
  <si>
    <t xml:space="preserve">Two-tool warm-up; greet and query_db. Same as LC079, LC266.</t>
  </si>
  <si>
    <t xml:space="preserve">LC015</t>
  </si>
  <si>
    <t xml:space="preserve">server_with_auth.py</t>
  </si>
  <si>
    <t xml:space="preserve">Complete MCP/McpWarmup/server_with_auth.py</t>
  </si>
  <si>
    <t xml:space="preserve">MCP › Ch5 › 5.10</t>
  </si>
  <si>
    <t xml:space="preserve">Role-scoped auth run over HTTP; visibility table added. Same as LC080, LC267.</t>
  </si>
  <si>
    <t xml:space="preserve">LC016</t>
  </si>
  <si>
    <t xml:space="preserve">__init__.py</t>
  </si>
  <si>
    <t xml:space="preserve">Complete MCP/McpWarmup/src/mcp_warmup/__init__.py</t>
  </si>
  <si>
    <t xml:space="preserve">—</t>
  </si>
  <si>
    <t xml:space="preserve">Template stub: prints a hello. Same as LC268.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</si>
  <si>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</si>
  <si>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</si>
  <si>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</si>
  <si>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</si>
  <si>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</si>
  <si>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</si>
  <si>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</si>
  <si>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</si>
  <si>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</si>
  <si>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</si>
  <si>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</si>
  <si>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Projects › Ch2 Time Tracker (MCP) › 2.4, 2.5</t>
  </si>
  <si>
    <t xml:space="preserve">Nine client demos; macOS hang and ctx.sample notes. .py files not read yet.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</si>
  <si>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</si>
  <si>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</si>
  <si>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</si>
  <si>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</si>
  <si>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</si>
  <si>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</si>
  <si>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</si>
  <si>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</si>
  <si>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</si>
  <si>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</si>
  <si>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</si>
  <si>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</si>
  <si>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</si>
  <si>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</si>
  <si>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</si>
  <si>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</si>
  <si>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</si>
  <si>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</si>
  <si>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</si>
  <si>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</si>
  <si>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</si>
  <si>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</si>
  <si>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</si>
  <si>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</si>
  <si>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</si>
  <si>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</si>
  <si>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</si>
  <si>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</si>
  <si>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</si>
  <si>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</si>
  <si>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</si>
  <si>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</si>
  <si>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</si>
  <si>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</si>
  <si>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</si>
  <si>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</si>
  <si>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</si>
  <si>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</si>
  <si>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</si>
  <si>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</si>
  <si>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</si>
  <si>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</si>
  <si>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</si>
  <si>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</si>
  <si>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Weekend 11 copy LC242; MCP Ch5 › 5.8</t>
  </si>
  <si>
    <t xml:space="preserve">Identical to LC242.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</si>
  <si>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</si>
  <si>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</si>
  <si>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</si>
  <si>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</si>
  <si>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</si>
  <si>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</si>
  <si>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</si>
  <si>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</si>
  <si>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</si>
  <si>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</si>
  <si>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</si>
  <si>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</si>
  <si>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Projects › Ch2 Time Tracker (MCP) › 2.4</t>
  </si>
  <si>
    <t xml:space="preserve">Older 8-file version of LC020; difference noted in Ch2.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</si>
  <si>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</si>
  <si>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</si>
  <si>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</si>
  <si>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</si>
  <si>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</si>
  <si>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</si>
  <si>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</si>
  <si>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</si>
  <si>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</si>
  <si>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</si>
  <si>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</si>
  <si>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</si>
  <si>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</si>
  <si>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</si>
  <si>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</si>
  <si>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</si>
  <si>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</si>
  <si>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</si>
  <si>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</si>
  <si>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</si>
  <si>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</si>
  <si>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</si>
  <si>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</si>
  <si>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</si>
  <si>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</si>
  <si>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</si>
  <si>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</si>
  <si>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</si>
  <si>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</si>
  <si>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</si>
  <si>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</si>
  <si>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</si>
  <si>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</si>
  <si>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</si>
  <si>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</si>
  <si>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</si>
  <si>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</si>
  <si>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</si>
  <si>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</si>
  <si>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</si>
  <si>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</si>
  <si>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</si>
  <si>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</si>
  <si>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</si>
  <si>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</si>
  <si>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</si>
  <si>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</si>
  <si>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</si>
  <si>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</si>
  <si>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</si>
  <si>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</si>
  <si>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</si>
  <si>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</si>
  <si>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</si>
  <si>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</si>
  <si>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</si>
  <si>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Weekend 11 copy LC252; MCP Ch5 › 5.8</t>
  </si>
  <si>
    <t xml:space="preserve">Identical to LC252.</t>
  </si>
  <si>
    <t xml:space="preserve">LC063</t>
  </si>
  <si>
    <t xml:space="preserve">Why MCP Had to Exist.txt</t>
  </si>
  <si>
    <t xml:space="preserve">Complete MCP/Why MCP Had to Exist.txt</t>
  </si>
  <si>
    <t xml:space="preserve">MCP › Ch1 Why MCP exists</t>
  </si>
  <si>
    <t xml:space="preserve">Root duplicate of LC216, identical</t>
  </si>
  <si>
    <t xml:space="preserve">LC064</t>
  </si>
  <si>
    <t xml:space="preserve">claude_desktop_config.json</t>
  </si>
  <si>
    <t xml:space="preserve">Complete MCP/claude_desktop_config.json</t>
  </si>
  <si>
    <t xml:space="preserve">MCP › Ch3 › 3.10, Ch5 › 5.5-5.6</t>
  </si>
  <si>
    <t xml:space="preserve">Claude Desktop config. Server entries already used in notes; the rest holds personal device settings and was not copied.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</si>
  <si>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</si>
  <si>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</si>
  <si>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</si>
  <si>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</si>
  <si>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MCP › Ch5 Building MCP servers</t>
  </si>
  <si>
    <t xml:space="preserve">Root duplicate of LC254, an empty file (checked: byte-identical)</t>
  </si>
  <si>
    <t xml:space="preserve">Empty file in the class repo</t>
  </si>
  <si>
    <t xml:space="preserve">LC067</t>
  </si>
  <si>
    <t xml:space="preserve">Untitled-1.json</t>
  </si>
  <si>
    <t xml:space="preserve">Complete MCP/first-mcp-server/Untitled-1.json</t>
  </si>
  <si>
    <t xml:space="preserve">MCP › Ch4 (list_notes schema)</t>
  </si>
  <si>
    <t xml:space="preserve">Scratch copy of the Apple Notes list_notes schema. Same as LC255.</t>
  </si>
  <si>
    <t xml:space="preserve">LC068</t>
  </si>
  <si>
    <t xml:space="preserve">Complete MCP/first-mcp-server/main.py</t>
  </si>
  <si>
    <t xml:space="preserve">Template stub from uv init. Same as LC256.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</si>
  <si>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</si>
  <si>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</si>
  <si>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</si>
  <si>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</si>
  <si>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MCP › Ch5 › 5.3 (resource and prompts)</t>
  </si>
  <si>
    <t xml:space="preserve">RecipeBox_Updated: tags resource, 2 prompts; send_email name is a leftover. Same as LC258.</t>
  </si>
  <si>
    <t xml:space="preserve">LC071</t>
  </si>
  <si>
    <t xml:space="preserve">Complete MCP/first-mcp-server/recipebox_lowlevel.py</t>
  </si>
  <si>
    <t xml:space="preserve">Byte-identical to LC008 (hash checked).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</si>
  <si>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</si>
  <si>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</si>
  <si>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</si>
  <si>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</si>
  <si>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</si>
  <si>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MCP › Ch3 Lifecycle, JSON-RPC and capability negotiation (3.12)</t>
  </si>
  <si>
    <t xml:space="preserve">Root duplicate of LC228 (checked: byte-identical)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</si>
  <si>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</si>
  <si>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</si>
  <si>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</si>
  <si>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</si>
  <si>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</si>
  <si>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</si>
  <si>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Root duplicate of LC219, identical</t>
  </si>
  <si>
    <t xml:space="preserve">LC077</t>
  </si>
  <si>
    <t xml:space="preserve">Complete MCP/mcp-warmup/mcp_server_with_primitives.py</t>
  </si>
  <si>
    <t xml:space="preserve">Byte-identical to LC012 (hash checked).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</si>
  <si>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</si>
  <si>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</si>
  <si>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</si>
  <si>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</si>
  <si>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Byte-identical to LC014 (hash checked).</t>
  </si>
  <si>
    <t xml:space="preserve">LC080</t>
  </si>
  <si>
    <t xml:space="preserve">Complete MCP/mcp-warmup/server_with_auth.py</t>
  </si>
  <si>
    <t xml:space="preserve">Byte-identical to LC015 (hash checked).</t>
  </si>
  <si>
    <t xml:space="preserve">LC081</t>
  </si>
  <si>
    <t xml:space="preserve">Complete MCP/mcp-warmup/src/mcp_warmup/__init__.py</t>
  </si>
  <si>
    <t xml:space="preserve">Root duplicate of LC222, identical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</si>
  <si>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</si>
  <si>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</si>
  <si>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</si>
  <si>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</si>
  <si>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</si>
  <si>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</si>
  <si>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</si>
  <si>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</si>
  <si>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MCP › Ch3 › 3.10</t>
  </si>
  <si>
    <t xml:space="preserve">Wiretap read and run. Same as LC233.</t>
  </si>
  <si>
    <t xml:space="preserve">LC085</t>
  </si>
  <si>
    <t xml:space="preserve">mcp_wiretap_no_color.py</t>
  </si>
  <si>
    <t xml:space="preserve">Complete MCP/mcp_wiretap_no_color.py</t>
  </si>
  <si>
    <t xml:space="preserve">No-colour wiretap read and run. Same as LC234.</t>
  </si>
  <si>
    <t xml:space="preserve">LC086</t>
  </si>
  <si>
    <t xml:space="preserve">p2_MCP_Architecture.ipynb</t>
  </si>
  <si>
    <t xml:space="preserve">Complete MCP/p2_MCP_Architecture.ipynb</t>
  </si>
  <si>
    <t xml:space="preserve">Root duplicate of LC224, identical</t>
  </si>
  <si>
    <t xml:space="preserve">LC087</t>
  </si>
  <si>
    <t xml:space="preserve">v4a_primitives_notebook (3).ipynb</t>
  </si>
  <si>
    <t xml:space="preserve">Complete MCP/v4a_primitives_notebook (3).ipynb</t>
  </si>
  <si>
    <t xml:space="preserve">MCP › Ch3 Lifecycle, JSON-RPC and capability negotiation (3.3)</t>
  </si>
  <si>
    <t xml:space="preserve">Root duplicate of LC235 (checked: byte-identical)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</si>
  <si>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</si>
  <si>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</si>
  <si>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</si>
  <si>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</si>
  <si>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</si>
  <si>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</si>
  <si>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</si>
  <si>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</si>
  <si>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</si>
  <si>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</si>
  <si>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</si>
  <si>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</si>
  <si>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</si>
  <si>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</si>
  <si>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</si>
  <si>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</si>
  <si>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</si>
  <si>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</si>
  <si>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</si>
  <si>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</si>
  <si>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</si>
  <si>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</si>
  <si>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</si>
  <si>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</si>
  <si>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</si>
  <si>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</si>
  <si>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</si>
  <si>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</si>
  <si>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</si>
  <si>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</si>
  <si>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</si>
  <si>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</si>
  <si>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</si>
  <si>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</si>
  <si>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</si>
  <si>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</si>
  <si>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</si>
  <si>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</si>
  <si>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</si>
  <si>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</si>
  <si>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</si>
  <si>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</si>
  <si>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</si>
  <si>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</si>
  <si>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</si>
  <si>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</si>
  <si>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</si>
  <si>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</si>
  <si>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</si>
  <si>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</si>
  <si>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</si>
  <si>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</si>
  <si>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</si>
  <si>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</si>
  <si>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</si>
  <si>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</si>
  <si>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</si>
  <si>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</si>
  <si>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</si>
  <si>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</si>
  <si>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</si>
  <si>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</si>
  <si>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</si>
  <si>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</si>
  <si>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</si>
  <si>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</si>
  <si>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</si>
  <si>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</si>
  <si>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</si>
  <si>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</si>
  <si>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</si>
  <si>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</si>
  <si>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</si>
  <si>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</si>
  <si>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</si>
  <si>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</si>
  <si>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</si>
  <si>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</si>
  <si>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</si>
  <si>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</si>
  <si>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</si>
  <si>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</si>
  <si>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</si>
  <si>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</si>
  <si>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</si>
  <si>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</si>
  <si>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</si>
  <si>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</si>
  <si>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</si>
  <si>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</si>
  <si>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</si>
  <si>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</si>
  <si>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</si>
  <si>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</si>
  <si>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</si>
  <si>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</si>
  <si>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</si>
  <si>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</si>
  <si>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</si>
  <si>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</si>
  <si>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</si>
  <si>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</si>
  <si>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</si>
  <si>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</si>
  <si>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</si>
  <si>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</si>
  <si>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</si>
  <si>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</si>
  <si>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</si>
  <si>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</si>
  <si>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</si>
  <si>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</si>
  <si>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</si>
  <si>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</si>
  <si>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</si>
  <si>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</si>
  <si>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</si>
  <si>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</si>
  <si>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</si>
  <si>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</si>
  <si>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</si>
  <si>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</si>
  <si>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</si>
  <si>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</si>
  <si>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</si>
  <si>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</si>
  <si>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</si>
  <si>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</si>
  <si>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</si>
  <si>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</si>
  <si>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</si>
  <si>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</si>
  <si>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</si>
  <si>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</si>
  <si>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</si>
  <si>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</si>
  <si>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</si>
  <si>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</si>
  <si>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</si>
  <si>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</si>
  <si>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</si>
  <si>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</si>
  <si>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</si>
  <si>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</si>
  <si>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</si>
  <si>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</si>
  <si>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</si>
  <si>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</si>
  <si>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</si>
  <si>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</si>
  <si>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</si>
  <si>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</si>
  <si>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</si>
  <si>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</si>
  <si>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</si>
  <si>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</si>
  <si>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</si>
  <si>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</si>
  <si>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</si>
  <si>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</si>
  <si>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</si>
  <si>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</si>
  <si>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</si>
  <si>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</si>
  <si>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</si>
  <si>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</si>
  <si>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</si>
  <si>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</si>
  <si>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</si>
  <si>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</si>
  <si>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</si>
  <si>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</si>
  <si>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</si>
  <si>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</si>
  <si>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</si>
  <si>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</si>
  <si>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</si>
  <si>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</si>
  <si>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</si>
  <si>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</si>
  <si>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</si>
  <si>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</si>
  <si>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</si>
  <si>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</si>
  <si>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</si>
  <si>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</si>
  <si>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</si>
  <si>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</si>
  <si>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</si>
  <si>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</si>
  <si>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</si>
  <si>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</si>
  <si>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</si>
  <si>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</si>
  <si>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</si>
  <si>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</si>
  <si>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</si>
  <si>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</si>
  <si>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</si>
  <si>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</si>
  <si>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</si>
  <si>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</si>
  <si>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</si>
  <si>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</si>
  <si>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</si>
  <si>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</si>
  <si>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</si>
  <si>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</si>
  <si>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</si>
  <si>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</si>
  <si>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</si>
  <si>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</si>
  <si>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</si>
  <si>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</si>
  <si>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</si>
  <si>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</si>
  <si>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</si>
  <si>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</si>
  <si>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</si>
  <si>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</si>
  <si>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</si>
  <si>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</si>
  <si>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</si>
  <si>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</si>
  <si>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</si>
  <si>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</si>
  <si>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</si>
  <si>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</si>
  <si>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</si>
  <si>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</si>
  <si>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</si>
  <si>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</si>
  <si>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</si>
  <si>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</si>
  <si>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</si>
  <si>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</si>
  <si>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</si>
  <si>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</si>
  <si>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</si>
  <si>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</si>
  <si>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</si>
  <si>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</si>
  <si>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</si>
  <si>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</si>
  <si>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</si>
  <si>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</si>
  <si>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</si>
  <si>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</si>
  <si>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</si>
  <si>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</si>
  <si>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</si>
  <si>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</si>
  <si>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</si>
  <si>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</si>
  <si>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</si>
  <si>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</si>
  <si>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</si>
  <si>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</si>
  <si>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</si>
  <si>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</si>
  <si>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</si>
  <si>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</si>
  <si>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</si>
  <si>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</si>
  <si>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</si>
  <si>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</si>
  <si>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</si>
  <si>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</si>
  <si>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</si>
  <si>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</si>
  <si>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</si>
  <si>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</si>
  <si>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</si>
  <si>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</si>
  <si>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</si>
  <si>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</si>
  <si>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</si>
  <si>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</si>
  <si>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</si>
  <si>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</si>
  <si>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</si>
  <si>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</si>
  <si>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</si>
  <si>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</si>
  <si>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</si>
  <si>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</si>
  <si>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</si>
  <si>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</si>
  <si>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</si>
  <si>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</si>
  <si>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</si>
  <si>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</si>
  <si>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</si>
  <si>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</si>
  <si>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</si>
  <si>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</si>
  <si>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</si>
  <si>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</si>
  <si>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</si>
  <si>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</si>
  <si>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</si>
  <si>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</si>
  <si>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</si>
  <si>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</si>
  <si>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</si>
  <si>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</si>
  <si>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</si>
  <si>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</si>
  <si>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</si>
  <si>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</si>
  <si>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</si>
  <si>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</si>
  <si>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</si>
  <si>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</si>
  <si>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</si>
  <si>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</si>
  <si>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</si>
  <si>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</si>
  <si>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</si>
  <si>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</si>
  <si>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</si>
  <si>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</si>
  <si>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</si>
  <si>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</si>
  <si>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</si>
  <si>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</si>
  <si>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</si>
  <si>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</si>
  <si>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</si>
  <si>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</si>
  <si>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</si>
  <si>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</si>
  <si>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</si>
  <si>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</si>
  <si>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</si>
  <si>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</si>
  <si>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</si>
  <si>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</si>
  <si>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</si>
  <si>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</si>
  <si>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</si>
  <si>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</si>
  <si>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</si>
  <si>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</si>
  <si>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</si>
  <si>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</si>
  <si>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</si>
  <si>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</si>
  <si>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</si>
  <si>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</si>
  <si>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</si>
  <si>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</si>
  <si>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</si>
  <si>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</si>
  <si>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</si>
  <si>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</si>
  <si>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</si>
  <si>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</si>
  <si>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</si>
  <si>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</si>
  <si>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</si>
  <si>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</si>
  <si>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</si>
  <si>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</si>
  <si>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</si>
  <si>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</si>
  <si>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</si>
  <si>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</si>
  <si>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</si>
  <si>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</si>
  <si>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</si>
  <si>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</si>
  <si>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</si>
  <si>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</si>
  <si>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</si>
  <si>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</si>
  <si>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</si>
  <si>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</si>
  <si>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</si>
  <si>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</si>
  <si>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</si>
  <si>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</si>
  <si>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</si>
  <si>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</si>
  <si>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</si>
  <si>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</si>
  <si>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</si>
  <si>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</si>
  <si>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</si>
  <si>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</si>
  <si>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</si>
  <si>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</si>
  <si>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</si>
  <si>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</si>
  <si>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</si>
  <si>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</si>
  <si>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</si>
  <si>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</si>
  <si>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</si>
  <si>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</si>
  <si>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</si>
  <si>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</si>
  <si>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</si>
  <si>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</si>
  <si>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</si>
  <si>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</si>
  <si>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</si>
  <si>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</si>
  <si>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</si>
  <si>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</si>
  <si>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</si>
  <si>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</si>
  <si>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</si>
  <si>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</si>
  <si>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</si>
  <si>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</si>
  <si>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</si>
  <si>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</si>
  <si>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</si>
  <si>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</si>
  <si>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</si>
  <si>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</si>
  <si>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</si>
  <si>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Langchain › Ch3 Models, messages and parameters (3.1, 3.5)</t>
  </si>
  <si>
    <t xml:space="preserve">Part 2 Models notebook: models, streaming, batching, OpenRouter, messages, tools, structured output. Mostly covered already. Added reasoning-token detail and the three-SDK comparison. Source holds API keys, not copied</t>
  </si>
  <si>
    <t xml:space="preserve">Notebook source holds API keys. Not copied. Owner should revoke them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</si>
  <si>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</si>
  <si>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</si>
  <si>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</si>
  <si>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Langchain › Ch3 Models, messages and parameters</t>
  </si>
  <si>
    <t xml:space="preserve">Colab copy of LC169. All cells compared one by one: only extra cells were an Anthropic agent example and OpenRouter variants, already covered. Source holds API keys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</si>
  <si>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</si>
  <si>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</si>
  <si>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</si>
  <si>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</si>
  <si>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</si>
  <si>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</si>
  <si>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</si>
  <si>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</si>
  <si>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</si>
  <si>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</si>
  <si>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</si>
  <si>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</si>
  <si>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</si>
  <si>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</si>
  <si>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</si>
  <si>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</si>
  <si>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</si>
  <si>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</si>
  <si>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</si>
  <si>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</si>
  <si>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</si>
  <si>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Langchain › Ch1, Ch2, Ch3 (class 7 and 8 topics)</t>
  </si>
  <si>
    <t xml:space="preserve">Small print inside the illustrations not read</t>
  </si>
  <si>
    <t xml:space="preserve">Whiteboard PDF of classes 7 and 8: family, harness, timeline, API key, messages, structured output. One very large page; text extracted and pictures viewed at reduced size, so small print was not read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</si>
  <si>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</si>
  <si>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</si>
  <si>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</si>
  <si>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</si>
  <si>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</si>
  <si>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</si>
  <si>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</si>
  <si>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</si>
  <si>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</si>
  <si>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</si>
  <si>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</si>
  <si>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</si>
  <si>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</si>
  <si>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</si>
  <si>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</si>
  <si>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</si>
  <si>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</si>
  <si>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</si>
  <si>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</si>
  <si>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</si>
  <si>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</si>
  <si>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</si>
  <si>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</si>
  <si>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</si>
  <si>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</si>
  <si>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</si>
  <si>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</si>
  <si>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</si>
  <si>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</si>
  <si>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</si>
  <si>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</si>
  <si>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</si>
  <si>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</si>
  <si>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</si>
  <si>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</si>
  <si>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</si>
  <si>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</si>
  <si>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</si>
  <si>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</si>
  <si>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</si>
  <si>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</si>
  <si>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</si>
  <si>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</si>
  <si>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</si>
  <si>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Langchain › Ch3 Models, messages and parameters; Ch2</t>
  </si>
  <si>
    <t xml:space="preserve">Weekend 4 README: overview of classes 7 and 8, links only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</si>
  <si>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</si>
  <si>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</si>
  <si>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</si>
  <si>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</si>
  <si>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</si>
  <si>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</si>
  <si>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</si>
  <si>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</si>
  <si>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</si>
  <si>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</si>
  <si>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</si>
  <si>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</si>
  <si>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</si>
  <si>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</si>
  <si>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</si>
  <si>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</si>
  <si>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</si>
  <si>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</si>
  <si>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Langchain › Ch15 Interview questions</t>
  </si>
  <si>
    <t xml:space="preserve">Retrieval and RAGAS answers wait for the RAG material</t>
  </si>
  <si>
    <t xml:space="preserve">Researched interview question file (21 questions plus quick-fire). All answered in Ch15; tool, structured-output and gating claims run; CVE-2025-68664 checked against search results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</si>
  <si>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</si>
  <si>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</si>
  <si>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</si>
  <si>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</si>
  <si>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Langchain › Ch4 Structured output (4.2, 4.7, 4.9); Langchain › Ch5 Tools (5.4, 5.6)</t>
  </si>
  <si>
    <t xml:space="preserve">Student reference notebook, structured output and tools. Mostly covered already. Added method= options, profile check, handle_errors table and exception type, parse_docstring, runtime vs config. All run offline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</si>
  <si>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</si>
  <si>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</si>
  <si>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</si>
  <si>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Langchain › Ch4 Structured output; Langchain › Ch5 Tools</t>
  </si>
  <si>
    <t xml:space="preserve">Picture detail not viewed</t>
  </si>
  <si>
    <t xml:space="preserve">Whiteboard PDF for class 9: structured output, strategies, tools, bind vs run. Text extracted; the picture was not viewed. Topics match Ch4 and Ch5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</si>
  <si>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</si>
  <si>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</si>
  <si>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</si>
  <si>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Langchain › Ch3 Models, messages and parameters; Ch1, Ch2</t>
  </si>
  <si>
    <t xml:space="preserve">Whiteboard PDF for class 7 and 8 (25 MB). Text extracted; the picture was not viewed. Topics match Ch1 to Ch3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</si>
  <si>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</si>
  <si>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</si>
  <si>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</si>
  <si>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</si>
  <si>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</si>
  <si>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</si>
  <si>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</si>
  <si>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</si>
  <si>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</si>
  <si>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Langchain › Ch4 Structured output (4.4, 4.8, 4.9)</t>
  </si>
  <si>
    <t xml:space="preserve">Colab structured output notebook: same content as LC188. Read in full. One extra: profile of gpt-3.5-turbo, now in 4.7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</si>
  <si>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</si>
  <si>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</si>
  <si>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</si>
  <si>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Langchain › Ch4 Structured output; Langchain › Ch5 Tools; Langchain › Ch6 Agents and memory; Ch7 Middleware</t>
  </si>
  <si>
    <t xml:space="preserve">Till-agents notebook: LC188 content plus agents, real weather and search tools, SQLite, forgetting, checkpointing, multiple structured output, long-term store, tool gating. Compared with LC188; extras already in Ch6, Ch7. Tool-gating state key already in Ch5, Ch7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</si>
  <si>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</si>
  <si>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</si>
  <si>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</si>
  <si>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</si>
  <si>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</si>
  <si>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</si>
  <si>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</si>
  <si>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</si>
  <si>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</si>
  <si>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</si>
  <si>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</si>
  <si>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</si>
  <si>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</si>
  <si>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Langchain › Ch7 to Ch10</t>
  </si>
  <si>
    <t xml:space="preserve">Embedded pictures not rendered</t>
  </si>
  <si>
    <t xml:space="preserve">Excalidraw source of the middleware diagram (week 6). Text labels extracted; 59 embedded images not rendered. Same content as LC206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</si>
  <si>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</si>
  <si>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</si>
  <si>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</si>
  <si>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</si>
  <si>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</si>
  <si>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</si>
  <si>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</si>
  <si>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</si>
  <si>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</si>
  <si>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</si>
  <si>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</si>
  <si>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</si>
  <si>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</si>
  <si>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</si>
  <si>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</si>
  <si>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</si>
  <si>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</si>
  <si>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</si>
  <si>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</si>
  <si>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</si>
  <si>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</si>
  <si>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</si>
  <si>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</si>
  <si>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</si>
  <si>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</si>
  <si>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</si>
  <si>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</si>
  <si>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</si>
  <si>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</si>
  <si>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</si>
  <si>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</si>
  <si>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</si>
  <si>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</si>
  <si>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</si>
  <si>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</si>
  <si>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</si>
  <si>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</si>
  <si>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</si>
  <si>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</si>
  <si>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</si>
  <si>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</si>
  <si>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</si>
  <si>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</si>
  <si>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</si>
  <si>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</si>
  <si>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</si>
  <si>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</si>
  <si>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</si>
  <si>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Excalidraw source of the middleware diagram (week 7). Same labels as LC196. Embedded pictures not rendered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</si>
  <si>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</si>
  <si>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</si>
  <si>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</si>
  <si>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</si>
  <si>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</si>
  <si>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</si>
  <si>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</si>
  <si>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</si>
  <si>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</si>
  <si>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Langchain › Ch9 Guardrails, to-do lists and tool resilience (9.9); Ch7</t>
  </si>
  <si>
    <t xml:space="preserve">Subagent and rubric-grading middleware not in the installed version</t>
  </si>
  <si>
    <t xml:space="preserve">Middleware architecture PNG: hook flow, table of prebuilt middleware, run vs thread limit, retry. All three parts viewed. Added the entries missing from the book in 9.9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</si>
  <si>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</si>
  <si>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</si>
  <si>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</si>
  <si>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</si>
  <si>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</si>
  <si>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</si>
  <si>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</si>
  <si>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</si>
  <si>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</si>
  <si>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</si>
  <si>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</si>
  <si>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</si>
  <si>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</si>
  <si>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</si>
  <si>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</si>
  <si>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</si>
  <si>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</si>
  <si>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</si>
  <si>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</si>
  <si>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</si>
  <si>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</si>
  <si>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</si>
  <si>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</si>
  <si>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</si>
  <si>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Langchain › Ch11 Runtime and human-in-the-loop</t>
  </si>
  <si>
    <t xml:space="preserve">Excalidraw source of the runtime and HITL diagram. Text labels extracted; 21 embedded images not rendered. Topics match Ch11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</si>
  <si>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</si>
  <si>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</si>
  <si>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</si>
  <si>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</si>
  <si>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</si>
  <si>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</si>
  <si>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</si>
  <si>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</si>
  <si>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</si>
  <si>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</si>
  <si>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</si>
  <si>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</si>
  <si>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</si>
  <si>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</si>
  <si>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</si>
  <si>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Commands: uv setup, Inspector (2.8); fastmcp 4 correction added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</si>
  <si>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</si>
  <si>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</si>
  <si>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</si>
  <si>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MCP › Ch1 Why MCP exists; MCP › Ch2 Primitives and architecture</t>
  </si>
  <si>
    <t xml:space="preserve">Slides: why MCP, architecture, three primitives</t>
  </si>
  <si>
    <t xml:space="preserve">LC216</t>
  </si>
  <si>
    <t xml:space="preserve">Weekend 09 - 22-23 Aug/23rd Aug - MCP/Complete MCP/Why MCP Had to Exist.txt</t>
  </si>
  <si>
    <t xml:space="preserve">Why MCP had to exist: black box to hands, scaling problem (1.1-1.8)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</si>
  <si>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</si>
  <si>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</si>
  <si>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</si>
  <si>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</si>
  <si>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</si>
  <si>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</si>
  <si>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Warm-up README: setup and Inspector steps (2.8)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</si>
  <si>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</si>
  <si>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</si>
  <si>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</si>
  <si>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</si>
  <si>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Warm-up server.py: greet/add (2.8); checked by running</t>
  </si>
  <si>
    <t xml:space="preserve">Root copy LC079 server.py differs (query_db tool); not yet read, left Not started</t>
  </si>
  <si>
    <t xml:space="preserve">LC222</t>
  </si>
  <si>
    <t xml:space="preserve">Weekend 09 - 22-23 Aug/23rd Aug - MCP/Complete MCP/mcp-warmup/src/mcp_warmup/__init__.py</t>
  </si>
  <si>
    <t xml:space="preserve">Warm-up package __init__.py: no teaching content beyond 2.8 setup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</si>
  <si>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</si>
  <si>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</si>
  <si>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</si>
  <si>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</si>
  <si>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Architecture notebook: 3 participants, 1:1 clients, transports (2.1-2.5)</t>
  </si>
  <si>
    <t xml:space="preserve">LC225</t>
  </si>
  <si>
    <t xml:space="preserve">Weekend 09 - 22-23 Aug/23rd Aug - MCP/README.md</t>
  </si>
  <si>
    <t xml:space="preserve">Weekend README: class outline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</si>
  <si>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</si>
  <si>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</si>
  <si>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</si>
  <si>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</si>
  <si>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</si>
  <si>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</si>
  <si>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</si>
  <si>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</si>
  <si>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</si>
  <si>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MCP › Ch3 Lifecycle, JSON-RPC and capability negotiation</t>
  </si>
  <si>
    <t xml:space="preserve">AI Updater project whiteboard: no-code connectors project (3.11); boxes unlabelled</t>
  </si>
  <si>
    <t xml:space="preserve">LC228</t>
  </si>
  <si>
    <t xml:space="preserve">Link.txt</t>
  </si>
  <si>
    <t xml:space="preserve">Weekend 10 - 5-6 Sep/06 Sep - MCP Primitives &amp; Architecture/Link.txt</t>
  </si>
  <si>
    <t xml:space="preserve">Link to a Gmail MCP server repo, named in 3.12; the repo itself not read</t>
  </si>
  <si>
    <t xml:space="preserve">File is a single URL; the linked repo was not opened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</si>
  <si>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</si>
  <si>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</si>
  <si>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</si>
  <si>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Lifecycle handout: 3 phases, handshake, version and capability negotiation, JSON-RPC shape (3.4-3.9)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</si>
  <si>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</si>
  <si>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</si>
  <si>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</si>
  <si>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Primitives handout: three primitives and their functions (3.1-3.2)</t>
  </si>
  <si>
    <t xml:space="preserve">LC231</t>
  </si>
  <si>
    <t xml:space="preserve">Weekend 10 - 5-6 Sep/06 Sep - MCP Primitives &amp; Architecture/README.md</t>
  </si>
  <si>
    <t xml:space="preserve">Folder README: file list, wiretap how-to (3.10)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</si>
  <si>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</si>
  <si>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</si>
  <si>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</si>
  <si>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Sanitised config with wiretap pattern (3.10)</t>
  </si>
  <si>
    <t xml:space="preserve">LC233</t>
  </si>
  <si>
    <t xml:space="preserve">Weekend 10 - 5-6 Sep/06 Sep - MCP Primitives &amp; Architecture/mcp_wiretap.py</t>
  </si>
  <si>
    <t xml:space="preserve">Byte-identical to LC084 (hash checked).</t>
  </si>
  <si>
    <t xml:space="preserve">LC234</t>
  </si>
  <si>
    <t xml:space="preserve">Weekend 10 - 5-6 Sep/06 Sep - MCP Primitives &amp; Architecture/mcp_wiretap_no_color.py</t>
  </si>
  <si>
    <t xml:space="preserve">Byte-identical to LC085 (hash checked).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</si>
  <si>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</si>
  <si>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</si>
  <si>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</si>
  <si>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Primitives notebook: server with all three primitives; code run and checked (3.3)</t>
  </si>
  <si>
    <t xml:space="preserve">LC236</t>
  </si>
  <si>
    <t xml:space="preserve">Weekend 10 - 5-6 Sep/README.md</t>
  </si>
  <si>
    <t xml:space="preserve">Weekend 10 README: class outline and links to simulators</t>
  </si>
  <si>
    <t xml:space="preserve">LC237</t>
  </si>
  <si>
    <t xml:space="preserve">Weekend 11 - 12-13 Sep/12-13 Sep - Building &amp; Deploying MCP Servers/MCP-Precoded/README.md</t>
  </si>
  <si>
    <t xml:space="preserve">Its code files are held. README lists part4_building_first_server_notebook.ipynb, which is not in the folder</t>
  </si>
  <si>
    <t xml:space="preserve">MCP-Precoded README: two-way comparison (72 vs 31 lines, copied from README, not recounted)</t>
  </si>
  <si>
    <t xml:space="preserve">LC238</t>
  </si>
  <si>
    <t xml:space="preserve">Weekend 11 - 12-13 Sep/12-13 Sep - Building &amp; Deploying MCP Servers/MCP-Precoded/recipebox_fastmcp.py</t>
  </si>
  <si>
    <t xml:space="preserve">Byte-identical to LC007 (hash checked).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</si>
  <si>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</si>
  <si>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</si>
  <si>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</si>
  <si>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</si>
  <si>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MCP › Ch5 Building MCP servers (5.2-5.7)</t>
  </si>
  <si>
    <t xml:space="preserve">Folder README: file map, run commands, TimeTrack run steps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</si>
  <si>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</si>
  <si>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</si>
  <si>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</si>
  <si>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</si>
  <si>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MCP › Ch5 Building MCP servers (5.7)</t>
  </si>
  <si>
    <t xml:space="preserve">TimeTrack README: setup, tools table, the two mounting rules (tested), Horizon steps (not run)</t>
  </si>
  <si>
    <t xml:space="preserve">LC243</t>
  </si>
  <si>
    <t xml:space="preserve">Weekend 11 - 12-13 Sep/12-13 Sep - Building &amp; Deploying MCP Servers/TimeTrackProject/timetrack/database.py</t>
  </si>
  <si>
    <t xml:space="preserve">Held at your request: .py/.js/.html/.css files are taken last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</si>
  <si>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</si>
  <si>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</si>
  <si>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</si>
  <si>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</si>
  <si>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</si>
  <si>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</si>
  <si>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</si>
  <si>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</si>
  <si>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</si>
  <si>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</si>
  <si>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</si>
  <si>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</si>
  <si>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</si>
  <si>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</si>
  <si>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</si>
  <si>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</si>
  <si>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</si>
  <si>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</si>
  <si>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Web files (.js, .html, .css) held at your request</t>
  </si>
  <si>
    <t xml:space="preserve">TimeTrack notebook: database layer and main.py; notebook code and asserts run and passed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</si>
  <si>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</si>
  <si>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</si>
  <si>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</si>
  <si>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</si>
  <si>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File is empty (0 bytes), nothing to cover</t>
  </si>
  <si>
    <t xml:space="preserve">LC255</t>
  </si>
  <si>
    <t xml:space="preserve">Weekend 11 - 12-13 Sep/12-13 Sep - Building &amp; Deploying MCP Servers/first-mcp-server/Untitled-1.json</t>
  </si>
  <si>
    <t xml:space="preserve">Byte-identical to LC067 (hash checked).</t>
  </si>
  <si>
    <t xml:space="preserve">LC256</t>
  </si>
  <si>
    <t xml:space="preserve">Weekend 11 - 12-13 Sep/12-13 Sep - Building &amp; Deploying MCP Servers/first-mcp-server/main.py</t>
  </si>
  <si>
    <t xml:space="preserve">Byte-identical to LC068 (hash checked).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</si>
  <si>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</si>
  <si>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</si>
  <si>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</si>
  <si>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</si>
  <si>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Byte-identical to LC070 (hash checked).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</si>
  <si>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</si>
  <si>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</si>
  <si>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</si>
  <si>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</si>
  <si>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</si>
  <si>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</si>
  <si>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</si>
  <si>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</si>
  <si>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</si>
  <si>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</si>
  <si>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</si>
  <si>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</si>
  <si>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</si>
  <si>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</si>
  <si>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</si>
  <si>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</si>
  <si>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</si>
  <si>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</si>
  <si>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</si>
  <si>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</si>
  <si>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Byte-identical to LC016 (hash checked).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</si>
  <si>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</si>
  <si>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</si>
  <si>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</si>
  <si>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</si>
  <si>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Weekend 11 overview: points to class 18 material, no extra teaching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</si>
  <si>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</si>
  <si>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</si>
  <si>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</si>
  <si>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</si>
  <si>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</si>
  <si>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Langchain › Ch12 MCP in LangChain (12.3)</t>
  </si>
  <si>
    <t xml:space="preserve">Week 13 notebook: the first, failed demo on langchain 0.3.25 (import langchain.mcp not available there). Explains why it failed; code replaced by the tested version</t>
  </si>
  <si>
    <t xml:space="preserve">Notebook environment was langchain 0.3.25</t>
  </si>
  <si>
    <t xml:space="preserve">LC273</t>
  </si>
  <si>
    <t xml:space="preserve">Weekend 13 - 27th Sep/README.md</t>
  </si>
  <si>
    <t xml:space="preserve">Langchain › Ch12 MCP in LangChain</t>
  </si>
  <si>
    <t xml:space="preserve">LC274</t>
  </si>
  <si>
    <t xml:space="preserve">langchain.py</t>
  </si>
  <si>
    <t xml:space="preserve">Weekend 13 - 27th Sep/langchain.py</t>
  </si>
  <si>
    <t xml:space="preserve">Held at your request: .py files are taken last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</si>
  <si>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</si>
  <si>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</si>
  <si>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</si>
  <si>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</si>
  <si>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</si>
  <si>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</si>
  <si>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</si>
  <si>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</si>
  <si>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</si>
  <si>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</si>
  <si>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</si>
  <si>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</si>
  <si>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Langchain › Ch12 MCP in LangChain (12.8, 12.11)</t>
  </si>
  <si>
    <t xml:space="preserve">Remote servers not run</t>
  </si>
  <si>
    <t xml:space="preserve">Multi-server live demo: per-server try/except pattern, Context7 and hosted TimeTrack. Remote parts not run. Contains an API key in source: flagged, not copied</t>
  </si>
  <si>
    <t xml:space="preserve">Notebook source holds an API key. Not copied. Owner should revoke it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</si>
  <si>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</si>
  <si>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</si>
  <si>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</si>
  <si>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Langchain › Ch12 MCP in LangChain (12.4-12.10)</t>
  </si>
  <si>
    <t xml:space="preserve">Interrupt resume with responses key and input-required server not run</t>
  </si>
  <si>
    <t xml:space="preserve">Main MCP-in-LangChain notebook: tools, direct calls, structured output, errors, destructive hints with HITL, elicitation, config vs client group, auth, old vs new packages. Run and checked except remote servers and OAuth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</si>
  <si>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</si>
  <si>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</si>
  <si>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</si>
  <si>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</si>
  <si>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</si>
  <si>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</si>
  <si>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Langchain › Ch12 MCP in LangChain (12.7)</t>
  </si>
  <si>
    <t xml:space="preserve">Elicitation server (ctx.elicit): read and run; fails on modern connection, works with a handler on a legacy client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</si>
  <si>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</si>
  <si>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</si>
  <si>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</si>
  <si>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</si>
  <si>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</si>
  <si>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</si>
  <si>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Langchain › Ch12 MCP in LangChain (12.5)</t>
  </si>
  <si>
    <t xml:space="preserve">Error server (raises ValueError): read and run; gives status=error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</si>
  <si>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</si>
  <si>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</si>
  <si>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</si>
  <si>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Langchain › Ch12 MCP in LangChain (12.4)</t>
  </si>
  <si>
    <t xml:space="preserve">Rest of the log not read</t>
  </si>
  <si>
    <t xml:space="preserve">Log of an earlier crash (ToolAnnotations used before import). Only the first lines were read, the rest of the log was not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</si>
  <si>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</si>
  <si>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</si>
  <si>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</si>
  <si>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CineBot server: repo copy holds one tool (overwritten by the multi-server notebook). Read; three-tool version rebuilt from the main notebook and run</t>
  </si>
  <si>
    <t xml:space="preserve">LC287</t>
  </si>
  <si>
    <t xml:space="preserve">Weekend 14 - Oct 3 &amp; Oct 4/MCP in Langchain/pyproject.toml</t>
  </si>
  <si>
    <t xml:space="preserve">pyproject.toml: langchain[mcp]&gt;=1.4.0, fastmcp, python-dotenv; read in full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</si>
  <si>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</si>
  <si>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</si>
  <si>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</si>
  <si>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</si>
  <si>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</si>
  <si>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</si>
  <si>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</si>
  <si>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Langchain › Ch13 Multi-agent systems and subagents (13.4); Langchain › Ch14 Handoffs, skills, router and custom workflows (14.7)</t>
  </si>
  <si>
    <t xml:space="preserve">Overview notebook: five patterns, choosing, minimal examples; examples run with a scripted model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</si>
  <si>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</si>
  <si>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</si>
  <si>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</si>
  <si>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Langchain › Ch13 Multi-agent systems and subagents (13.6)</t>
  </si>
  <si>
    <t xml:space="preserve">Subagents project: calendar and email agents, supervisor, human-in-the-loop on nested agents, information flow. Run and checked; HITL edit confirmed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</si>
  <si>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</si>
  <si>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</si>
  <si>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</si>
  <si>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Langchain › Ch14 Handoffs, skills, router and custom workflows (14.1-14.2)</t>
  </si>
  <si>
    <t xml:space="preserve">Summarisation shown for reference in the notebook, not run</t>
  </si>
  <si>
    <t xml:space="preserve">Handoffs project: state machine, step config, going back, two gotchas. Run over four turns; both gotchas reproduced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</si>
  <si>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</si>
  <si>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</si>
  <si>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</si>
  <si>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Langchain › Ch14 Handoffs, skills, router and custom workflows (14.5)</t>
  </si>
  <si>
    <t xml:space="preserve">Structured-output classification needs a real model, not run</t>
  </si>
  <si>
    <t xml:space="preserve">Router project: classify, Send, reducer, synthesis, tool wrapper. Run with deterministic classifiers; reducer error reproduced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</si>
  <si>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</si>
  <si>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</si>
  <si>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</si>
  <si>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Langchain › Ch14 Handoffs, skills, router and custom workflows (14.4)</t>
  </si>
  <si>
    <t xml:space="preserve">Skills that bring tools: the notebook demo does not register them, explained in 14.4</t>
  </si>
  <si>
    <t xml:space="preserve">Skills project: SkillMiddleware, load_skill, tracked state and gate. Run; found and fixed a list-replacement bug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</si>
  <si>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</si>
  <si>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</si>
  <si>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</si>
  <si>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Langchain › Ch13 Multi-agent systems and subagents (13.5-13.6); Langchain › Ch14 Handoffs, skills, router and custom workflows (14.1-14.7)</t>
  </si>
  <si>
    <t xml:space="preserve">Real-model production cells and model-call counts not run</t>
  </si>
  <si>
    <t xml:space="preserve">Combined notebook: all five patterns with a scripted model, dispatch tool, forked input, Command output, fake-embedding retrieval. Run and checked; limits of fake embeddings shown</t>
  </si>
  <si>
    <t xml:space="preserve">LC296</t>
  </si>
  <si>
    <t xml:space="preserve">Weekend 14 - Oct 3 &amp; Oct 4/Multi Agents in Langchain/README.md</t>
  </si>
  <si>
    <t xml:space="preserve">Langchain › Ch13 Multi-agent systems and subagents (13.5); Langchain › Ch14 Handoffs, skills, router and custom workflows (14.5)</t>
  </si>
  <si>
    <t xml:space="preserve">README: scripted-model approach and the reducer bug the notebook found; reducer error reproduced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</si>
  <si>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</si>
  <si>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</si>
  <si>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</si>
  <si>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</si>
  <si>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</si>
  <si>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Scratch file: a copy of the router example from the docs, calls tools it never defines; read in full, nothing new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</si>
  <si>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</si>
  <si>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</si>
  <si>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</si>
  <si>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</si>
  <si>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</si>
  <si>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</si>
  <si>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</si>
  <si>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</si>
  <si>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</si>
  <si>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</si>
  <si>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</si>
  <si>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</si>
  <si>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</si>
  <si>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</si>
  <si>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</si>
  <si>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</si>
  <si>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</si>
  <si>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Projects › Ch3 › 3.9, 3.10</t>
  </si>
  <si>
    <t xml:space="preserve">Deploy steps not run.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</si>
  <si>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</si>
  <si>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</si>
  <si>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</si>
  <si>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</si>
  <si>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</si>
  <si>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Projects › Ch3 Meridian AI learner</t>
  </si>
  <si>
    <t xml:space="preserve">Code not read.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</si>
  <si>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</si>
  <si>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</si>
  <si>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</si>
  <si>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</si>
  <si>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</si>
  <si>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</si>
  <si>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</si>
  <si>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</si>
  <si>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</si>
  <si>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</si>
  <si>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</si>
  <si>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</si>
  <si>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</si>
  <si>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</si>
  <si>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</si>
  <si>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</si>
  <si>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</si>
  <si>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</si>
  <si>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</si>
  <si>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</si>
  <si>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</si>
  <si>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</si>
  <si>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</si>
  <si>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</si>
  <si>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</si>
  <si>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</si>
  <si>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</si>
  <si>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</si>
  <si>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</si>
  <si>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</si>
  <si>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</si>
  <si>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</si>
  <si>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</si>
  <si>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</si>
  <si>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</si>
  <si>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</si>
  <si>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</si>
  <si>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</si>
  <si>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</si>
  <si>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</si>
  <si>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</si>
  <si>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</si>
  <si>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</si>
  <si>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</si>
  <si>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</si>
  <si>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</si>
  <si>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</si>
  <si>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</si>
  <si>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</si>
  <si>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</si>
  <si>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</si>
  <si>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</si>
  <si>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</si>
  <si>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</si>
  <si>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</si>
  <si>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</si>
  <si>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</si>
  <si>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</si>
  <si>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</si>
  <si>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</si>
  <si>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</si>
  <si>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</si>
  <si>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</si>
  <si>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</si>
  <si>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</si>
  <si>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</si>
  <si>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</si>
  <si>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</si>
  <si>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</si>
  <si>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</si>
  <si>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</si>
  <si>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</si>
  <si>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</si>
  <si>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</si>
  <si>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</si>
  <si>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</si>
  <si>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</si>
  <si>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</si>
  <si>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</si>
  <si>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</si>
  <si>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</si>
  <si>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</si>
  <si>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</si>
  <si>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</si>
  <si>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</si>
  <si>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</si>
  <si>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</si>
  <si>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</si>
  <si>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</si>
  <si>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</si>
  <si>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</si>
  <si>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</si>
  <si>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</si>
  <si>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</si>
  <si>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</si>
  <si>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</si>
  <si>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</si>
  <si>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</si>
  <si>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</si>
  <si>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</si>
  <si>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</si>
  <si>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</si>
  <si>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</si>
  <si>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</si>
  <si>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</si>
  <si>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</si>
  <si>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</si>
  <si>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</si>
  <si>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</si>
  <si>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</si>
  <si>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</si>
  <si>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</si>
  <si>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</si>
  <si>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</si>
  <si>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</si>
  <si>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</si>
  <si>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</si>
  <si>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</si>
  <si>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</si>
  <si>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</si>
  <si>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</si>
  <si>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</si>
  <si>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</si>
  <si>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</si>
  <si>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</si>
  <si>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</si>
  <si>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</si>
  <si>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</si>
  <si>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</si>
  <si>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</si>
  <si>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</si>
  <si>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</si>
  <si>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</si>
  <si>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</si>
  <si>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</si>
  <si>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</si>
  <si>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</si>
  <si>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</si>
  <si>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</si>
  <si>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</si>
  <si>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</si>
  <si>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</si>
  <si>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</si>
  <si>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</si>
  <si>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</si>
  <si>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</si>
  <si>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</si>
  <si>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</si>
  <si>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</si>
  <si>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</si>
  <si>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</si>
  <si>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</si>
  <si>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</si>
  <si>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</si>
  <si>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</si>
  <si>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</si>
  <si>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</si>
  <si>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</si>
  <si>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</si>
  <si>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</si>
  <si>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</si>
  <si>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</si>
  <si>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</si>
  <si>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</si>
  <si>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</si>
  <si>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</si>
  <si>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</si>
  <si>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</si>
  <si>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</si>
  <si>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</si>
  <si>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</si>
  <si>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</si>
  <si>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</si>
  <si>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</si>
  <si>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</si>
  <si>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</si>
  <si>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</si>
  <si>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</si>
  <si>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</si>
  <si>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</si>
  <si>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</si>
  <si>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</si>
  <si>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</si>
  <si>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</si>
  <si>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</si>
  <si>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</si>
  <si>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</si>
  <si>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</si>
  <si>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</si>
  <si>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</si>
  <si>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</si>
  <si>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</si>
  <si>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</si>
  <si>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</si>
  <si>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</si>
  <si>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</si>
  <si>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</si>
  <si>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</si>
  <si>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</si>
  <si>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</si>
  <si>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</si>
  <si>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</si>
  <si>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</si>
  <si>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</si>
  <si>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</si>
  <si>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</si>
  <si>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</si>
  <si>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</si>
  <si>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</si>
  <si>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</si>
  <si>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</si>
  <si>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</si>
  <si>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</si>
  <si>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</si>
  <si>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</si>
  <si>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</si>
  <si>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</si>
  <si>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</si>
  <si>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</si>
  <si>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</si>
  <si>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</si>
  <si>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</si>
  <si>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</si>
  <si>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</si>
  <si>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</si>
  <si>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</si>
  <si>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</si>
  <si>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</si>
  <si>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</si>
  <si>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</si>
  <si>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</si>
  <si>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</si>
  <si>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</si>
  <si>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</si>
  <si>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</si>
  <si>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</si>
  <si>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</si>
  <si>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</si>
  <si>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</si>
  <si>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</si>
  <si>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</si>
  <si>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</si>
  <si>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</si>
  <si>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</si>
  <si>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</si>
  <si>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</si>
  <si>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</si>
  <si>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</si>
  <si>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</si>
  <si>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</si>
  <si>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</si>
  <si>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</si>
  <si>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</si>
  <si>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</si>
  <si>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</si>
  <si>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</si>
  <si>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</si>
  <si>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</si>
  <si>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</si>
  <si>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</si>
  <si>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</si>
  <si>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</si>
  <si>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</si>
  <si>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</si>
  <si>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</si>
  <si>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</si>
  <si>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</si>
  <si>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</si>
  <si>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</si>
  <si>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</si>
  <si>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</si>
  <si>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</si>
  <si>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</si>
  <si>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</si>
  <si>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</si>
  <si>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</si>
  <si>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</si>
  <si>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</si>
  <si>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</si>
  <si>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</si>
  <si>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</si>
  <si>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</si>
  <si>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</si>
  <si>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</si>
  <si>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</si>
  <si>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</si>
  <si>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</si>
  <si>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</si>
  <si>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</si>
  <si>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</si>
  <si>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</si>
  <si>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</si>
  <si>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</si>
  <si>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</si>
  <si>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</si>
  <si>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</si>
  <si>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</si>
  <si>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</si>
  <si>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</si>
  <si>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</si>
  <si>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</si>
  <si>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</si>
  <si>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</si>
  <si>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</si>
  <si>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</si>
  <si>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</si>
  <si>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</si>
  <si>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</si>
  <si>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Projects › Ch3 › 3.7, 3.12</t>
  </si>
  <si>
    <t xml:space="preserve">Sample document; facts used as test answers.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</si>
  <si>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</si>
  <si>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</si>
  <si>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</si>
  <si>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Projects › Ch3 › 3.7</t>
  </si>
  <si>
    <t xml:space="preserve">Sample document (revenue EUR 2.84bn).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</si>
  <si>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</si>
  <si>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</si>
  <si>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</si>
  <si>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Projects › Ch3 › 3.12</t>
  </si>
  <si>
    <t xml:space="preserve">Sample document (approval thresholds).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</si>
  <si>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</si>
  <si>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</si>
  <si>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</si>
  <si>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Sample document (duty 2.2%, VAT 19%).</t>
  </si>
  <si>
    <t xml:space="preserve">LC417</t>
  </si>
  <si>
    <t xml:space="preserve">Weekend 15 - Oct 10 &amp; 11</t>
  </si>
  <si>
    <t xml:space="preserve">You said skip this folder</t>
  </si>
  <si>
    <t xml:space="preserve">89-byte pointer file with two URLs; links not opened.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</si>
  <si>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</si>
  <si>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</si>
  <si>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</si>
  <si>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</si>
  <si>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</si>
  <si>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</si>
  <si>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</si>
  <si>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</si>
  <si>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</si>
  <si>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</si>
  <si>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</si>
  <si>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</si>
  <si>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</si>
  <si>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</si>
  <si>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</si>
  <si>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</si>
  <si>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</si>
  <si>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</si>
  <si>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</si>
  <si>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</si>
  <si>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</si>
  <si>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</si>
  <si>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</si>
  <si>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</si>
  <si>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</si>
  <si>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</si>
  <si>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</si>
  <si>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</si>
  <si>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</si>
  <si>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</si>
  <si>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</si>
  <si>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</si>
  <si>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</si>
  <si>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</si>
  <si>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</si>
  <si>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</si>
  <si>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</si>
  <si>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</si>
  <si>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</si>
  <si>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</si>
  <si>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</si>
  <si>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</si>
  <si>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</si>
  <si>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</si>
  <si>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</si>
  <si>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</si>
  <si>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</si>
  <si>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</si>
  <si>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</si>
  <si>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</si>
  <si>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</si>
  <si>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</si>
  <si>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</si>
  <si>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</si>
  <si>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</si>
  <si>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</si>
  <si>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</si>
  <si>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</si>
  <si>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</si>
  <si>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</si>
  <si>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</si>
  <si>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</si>
  <si>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</si>
  <si>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</si>
  <si>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</si>
  <si>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</si>
  <si>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</si>
  <si>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</si>
  <si>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</si>
  <si>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</si>
  <si>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</si>
  <si>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</si>
  <si>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</si>
  <si>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</si>
  <si>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</si>
  <si>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</si>
  <si>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</si>
  <si>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</si>
  <si>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</si>
  <si>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</si>
  <si>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</si>
  <si>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</si>
  <si>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</si>
  <si>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</si>
  <si>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</si>
  <si>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</si>
  <si>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</si>
  <si>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</si>
  <si>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</si>
  <si>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</si>
  <si>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</si>
  <si>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</si>
  <si>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</si>
  <si>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</si>
  <si>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</si>
  <si>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</si>
  <si>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</si>
  <si>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</si>
  <si>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</si>
  <si>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</si>
  <si>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</si>
  <si>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</si>
  <si>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</si>
  <si>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</si>
  <si>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</si>
  <si>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</si>
  <si>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</si>
  <si>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</si>
  <si>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</si>
  <si>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</si>
  <si>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</si>
  <si>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</si>
  <si>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Class summary: why MCP, host/client/server, primitives, first server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</si>
  <si>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</si>
  <si>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</si>
  <si>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</si>
  <si>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Class 17 summary: primitives in code, wiretap problem and wiring (3.1-3.3, 3.10)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</si>
  <si>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</si>
  <si>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</si>
  <si>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</si>
  <si>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MCP › Ch5 Building MCP servers (5.2, 5.3, 5.7, 5.8)</t>
  </si>
  <si>
    <t xml:space="preserve">Authentication code, low-level RecipeBox code, first-mcp-server prompts: wait for the code batch</t>
  </si>
  <si>
    <t xml:space="preserve">Class summary 12-13 Sep: RecipeBox two ways, authentication, TimeTrack. TimeTrack and RecipeBox parts checked by running. TimeTrack and deployment now also covered by class 20 and 21 (Ch5, Ch6)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</si>
  <si>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</si>
  <si>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</si>
  <si>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</si>
  <si>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</si>
  <si>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</si>
  <si>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</si>
  <si>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</si>
  <si>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</si>
  <si>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</si>
  <si>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</si>
  <si>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</si>
  <si>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</si>
  <si>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</si>
  <si>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</si>
  <si>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</si>
  <si>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</si>
  <si>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</si>
  <si>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</si>
  <si>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</si>
  <si>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</si>
  <si>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</si>
  <si>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</si>
  <si>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</si>
  <si>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</si>
  <si>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</si>
  <si>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</si>
  <si>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</si>
  <si>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</si>
  <si>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</si>
  <si>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</si>
  <si>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</si>
  <si>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</si>
  <si>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</si>
  <si>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</si>
  <si>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</si>
  <si>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</si>
  <si>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</si>
  <si>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</si>
  <si>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</si>
  <si>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</si>
  <si>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</si>
  <si>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</si>
  <si>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</si>
  <si>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</si>
  <si>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</si>
  <si>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</si>
  <si>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</si>
  <si>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</si>
  <si>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</si>
  <si>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</si>
  <si>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</si>
  <si>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</si>
  <si>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</si>
  <si>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</si>
  <si>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</si>
  <si>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</si>
  <si>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</si>
  <si>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</si>
  <si>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</si>
  <si>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</si>
  <si>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</si>
  <si>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</si>
  <si>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</si>
  <si>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</si>
  <si>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</si>
  <si>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</si>
  <si>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</si>
  <si>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</si>
  <si>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</si>
  <si>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</si>
  <si>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</si>
  <si>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</si>
  <si>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</si>
  <si>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</si>
  <si>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</si>
  <si>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</si>
  <si>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</si>
  <si>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</si>
  <si>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</si>
  <si>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</si>
  <si>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</si>
  <si>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</si>
  <si>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</si>
  <si>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</si>
  <si>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</si>
  <si>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</si>
  <si>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</si>
  <si>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</si>
  <si>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</si>
  <si>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</si>
  <si>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</si>
  <si>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</si>
  <si>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</si>
  <si>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</si>
  <si>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</si>
  <si>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</si>
  <si>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</si>
  <si>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</si>
  <si>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</si>
  <si>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</si>
  <si>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</si>
  <si>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</si>
  <si>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</si>
  <si>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</si>
  <si>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</si>
  <si>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</si>
  <si>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</si>
  <si>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</si>
  <si>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Transcript summary of class 16, same concepts plus class Q&amp;A (2.10)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</si>
  <si>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</si>
  <si>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</si>
  <si>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</si>
  <si>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MCP › Ch3 Lifecycle, JSON-RPC and capability negotiation; Ch2 (recap parts)</t>
  </si>
  <si>
    <t xml:space="preserve">Resource templates and subscriptions were only named in class</t>
  </si>
  <si>
    <t xml:space="preserve">Class 17 transcript summary: recap (already in Ch2), primitives, lifecycle, JSON-RPC, handshake, version negotiation, Q&amp;A (3.1-3.12)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</si>
  <si>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</si>
  <si>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</si>
  <si>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</si>
  <si>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MCP › Ch3 Lifecycle, JSON-RPC and capability negotiation (3.9 capability negotiation, elicitation, 3.11 project, 3.12 Q&amp;A); MCP › Ch4 Operation, transports and shutdown (4.1-4.5 operation, privacy, live demos)</t>
  </si>
  <si>
    <t xml:space="preserve">Class 18 (6 Sep): capability negotiation, elicitation, operation phase, privacy, live demos, no-code project. Class claim on wrong-tool errors differs from the test (shown in 4.3)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</si>
  <si>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</si>
  <si>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</si>
  <si>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</si>
  <si>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MCP › Ch4 Operation, transports and shutdown (4.6-4.12); MCP › Ch5 Building MCP servers (5.1-5.6)</t>
  </si>
  <si>
    <t xml:space="preserve">Hand-written low-level server code not seen (its .py file is held for the code batch)</t>
  </si>
  <si>
    <t xml:space="preserve">Class 19 (12 Sep): shutdown, STDIO, Streamable HTTP, legacy vs FastMCP server, RecipeBox, port conflict, install, ngrok. Transport and shutdown behaviour run and checked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</si>
  <si>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</si>
  <si>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</si>
  <si>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</si>
  <si>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MCP › Ch5 Building MCP servers (5.6 connectors and config files, 5.8 TimeTrack layers, 5.9 wrapping an API two ways)</t>
  </si>
  <si>
    <t xml:space="preserve">Horizon free-tier numbers are the class's claim, not verified</t>
  </si>
  <si>
    <t xml:space="preserve">Class 20 (13 Sep): connectors vs config file, the layered Time Tracker build, manual tools vs from_fastapi. from_fastapi, docs page and tools run and checked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</si>
  <si>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</si>
  <si>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</si>
  <si>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</si>
  <si>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MCP › Ch6 Deployment and building a client (6.1-6.11)</t>
  </si>
  <si>
    <t xml:space="preserve">Horizon deployment itself and the real Anthropic API were not run</t>
  </si>
  <si>
    <t xml:space="preserve">Class 21 (19 Sep): STDIO vs HTTP, same file two transports, Horizon deployment, calculator, own client loop, FAQ. Code run with a stand-in model; two problems in the class loop and one wrong concurrency claim shown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</si>
  <si>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</si>
  <si>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</si>
  <si>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</si>
  <si>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MCP › Ch7 Legacy vs modern MCP (7.1-7.10)</t>
  </si>
  <si>
    <t xml:space="preserve">Modern requests over HTTP, MRTR elicitation, a full sampling run and progress reporting were not run</t>
  </si>
  <si>
    <t xml:space="preserve">Class 22 (20 Sep): timeline, stateless idea, removed vs deprecated, client modes, sampling, elicitation, ping, timeouts, LangChain link. Run and checked on fastmcp 4.1.4 and against the official changelog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</si>
  <si>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</si>
  <si>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</si>
  <si>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</si>
  <si>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Langchain › Ch13 Multi-agent systems and subagents (13.1-13.3, 13.7); Langchain › Ch12 MCP in LangChain (12.1-12.9)</t>
  </si>
  <si>
    <t xml:space="preserve">None. Token figures and Agent Flow demo are the class's, not reproduced</t>
  </si>
  <si>
    <t xml:space="preserve">Class 23 both halves: MCP adapter in Ch12, multi-agent why, context isolation, shapes and Q&amp;A in Ch13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</si>
  <si>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</si>
  <si>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</si>
  <si>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</si>
  <si>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</si>
  <si>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</si>
  <si>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</si>
  <si>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</si>
  <si>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</si>
  <si>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</si>
  <si>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</si>
  <si>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</si>
  <si>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</si>
  <si>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</si>
  <si>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</si>
  <si>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</si>
  <si>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</si>
  <si>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</si>
  <si>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</si>
  <si>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MCP › Ch8 Interview questions (8.1-8.9)</t>
  </si>
  <si>
    <t xml:space="preserve">OAuth, scopes and gateway answers are from the file only, not run</t>
  </si>
  <si>
    <t xml:space="preserve">Course interview file: 8 production questions. Replica, idempotency, error and spec claims tested; three corrections shown (stateless flag on constructor, bad parameters as isError results, list_changed not sent in test)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</si>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</sst>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4F6F"/>
        <bgColor rgb="FF1F3864"/>
      </patternFill>
    </fill>
    <fill>
      <patternFill patternType="solid">
        <fgColor rgb="FFE8EE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E8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72</v>
      </c>
      <c r="C7" s="3" t="n">
        <f aca="false">COUNTIFS(Master!$C$2:$C$465,$A7,Master!$H$2:$H$465,C$3)</f>
        <v>13</v>
      </c>
      <c r="D7" s="3" t="n">
        <f aca="false">COUNTIFS(Master!$C$2:$C$465,$A7,Master!$H$2:$H$465,D$3)</f>
        <v>3</v>
      </c>
      <c r="E7" s="3" t="n">
        <f aca="false">COUNTIFS(Master!$C$2:$C$465,$A7,Master!$H$2:$H$465,E$3)</f>
        <v>19</v>
      </c>
      <c r="F7" s="3" t="n">
        <f aca="false">COUNTIFS(Master!$C$2:$C$465,$A7,Master!$H$2:$H$465,F$3)</f>
        <v>6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61</v>
      </c>
      <c r="C8" s="3" t="n">
        <f aca="false">COUNTIFS(Master!$C$2:$C$465,$A8,Master!$H$2:$H$465,C$3)</f>
        <v>1</v>
      </c>
      <c r="D8" s="3" t="n">
        <f aca="false">COUNTIFS(Master!$C$2:$C$465,$A8,Master!$H$2:$H$465,D$3)</f>
        <v>0</v>
      </c>
      <c r="E8" s="3" t="n">
        <f aca="false">COUNTIFS(Master!$C$2:$C$465,$A8,Master!$H$2:$H$465,E$3)</f>
        <v>24</v>
      </c>
      <c r="F8" s="3" t="n">
        <f aca="false">COUNTIFS(Master!$C$2:$C$465,$A8,Master!$H$2:$H$465,F$3)</f>
        <v>7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13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128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4</v>
      </c>
      <c r="F10" s="3" t="n">
        <f aca="false">COUNTIFS(Master!$C$2:$C$465,$A10,Master!$H$2:$H$465,F$3)</f>
        <v>1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196</v>
      </c>
      <c r="C11" s="5" t="n">
        <f aca="false">SUM(C4:C10)</f>
        <v>22</v>
      </c>
      <c r="D11" s="5" t="n">
        <f aca="false">SUM(D4:D10)</f>
        <v>132</v>
      </c>
      <c r="E11" s="5" t="n">
        <f aca="false">SUM(E4:E10)</f>
        <v>95</v>
      </c>
      <c r="F11" s="5" t="n">
        <f aca="false">SUM(F4:F10)</f>
        <v>19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86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62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89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227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231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226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17" min="3" style="1" width="13"/>
  </cols>
  <sheetData>
    <row r="1" customFormat="false" ht="17.25" hidden="false" customHeight="true" outlineLevel="0" collapsed="false">
      <c r="A1" s="6" t="s">
        <v>24</v>
      </c>
    </row>
    <row r="2" customFormat="false" ht="15" hidden="false" customHeight="true" outlineLevel="0" collapsed="false">
      <c r="A2" s="1" t="s">
        <v>25</v>
      </c>
    </row>
    <row r="3" customFormat="false" ht="15" hidden="false" customHeight="true" outlineLevel="0" collapsed="false">
      <c r="A3" s="7" t="s">
        <v>26</v>
      </c>
    </row>
    <row r="4" customFormat="false" ht="42" hidden="false" customHeight="true" outlineLevel="0" collapsed="false">
      <c r="A4" s="8" t="s">
        <v>27</v>
      </c>
      <c r="B4" s="8" t="s">
        <v>7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8" t="s">
        <v>19</v>
      </c>
      <c r="I4" s="8" t="s">
        <v>18</v>
      </c>
      <c r="J4" s="8" t="s">
        <v>17</v>
      </c>
      <c r="K4" s="8" t="s">
        <v>20</v>
      </c>
      <c r="L4" s="8" t="s">
        <v>21</v>
      </c>
      <c r="M4" s="8" t="s">
        <v>22</v>
      </c>
      <c r="N4" s="8" t="s">
        <v>28</v>
      </c>
      <c r="O4" s="8" t="s">
        <v>23</v>
      </c>
      <c r="P4" s="8" t="s">
        <v>29</v>
      </c>
    </row>
    <row r="5" customFormat="false" ht="15" hidden="false" customHeight="true" outlineLevel="0" collapsed="false">
      <c r="A5" s="9" t="s">
        <v>30</v>
      </c>
      <c r="B5" s="9" t="n">
        <f aca="false">SUMIF($B$18:$B$42,$A5,C$18:C$42)</f>
        <v>120</v>
      </c>
      <c r="C5" s="9" t="n">
        <f aca="false">SUMIF($B$18:$B$42,$A5,D$18:D$42)</f>
        <v>54</v>
      </c>
      <c r="D5" s="9" t="n">
        <f aca="false">SUMIF($B$18:$B$42,$A5,E$18:E$42)</f>
        <v>1</v>
      </c>
      <c r="E5" s="9" t="n">
        <f aca="false">SUMIF($B$18:$B$42,$A5,F$18:F$42)</f>
        <v>53</v>
      </c>
      <c r="F5" s="9" t="n">
        <f aca="false">SUMIF($B$18:$B$42,$A5,G$18:G$42)</f>
        <v>5</v>
      </c>
      <c r="G5" s="9" t="n">
        <f aca="false">SUMIF($B$18:$B$42,$A5,H$18:H$42)</f>
        <v>7</v>
      </c>
      <c r="H5" s="9" t="n">
        <f aca="false">SUMIF($B$18:$B$42,$A5,I$18:I$42)</f>
        <v>8</v>
      </c>
      <c r="I5" s="9" t="n">
        <f aca="false">SUMIF($B$18:$B$42,$A5,J$18:J$42)</f>
        <v>22</v>
      </c>
      <c r="J5" s="9" t="n">
        <f aca="false">SUMIF($B$18:$B$42,$A5,K$18:K$42)</f>
        <v>32</v>
      </c>
      <c r="K5" s="9" t="n">
        <f aca="false">SUMIF($B$18:$B$42,$A5,L$18:L$42)</f>
        <v>0</v>
      </c>
      <c r="L5" s="9" t="n">
        <f aca="false">SUMIF($B$18:$B$42,$A5,M$18:M$42)</f>
        <v>58</v>
      </c>
      <c r="M5" s="9" t="n">
        <f aca="false">SUMIF($B$18:$B$42,$A5,N$18:N$42)</f>
        <v>62</v>
      </c>
      <c r="N5" s="9" t="n">
        <f aca="false">SUMIF($B$18:$B$42,$A5,O$18:O$42)</f>
        <v>0</v>
      </c>
      <c r="O5" s="9" t="n">
        <f aca="false">SUMIF($B$18:$B$42,$A5,P$18:P$42)</f>
        <v>58</v>
      </c>
      <c r="P5" s="10" t="n">
        <f aca="false">IF(B5=0,0,1-L5/B5)</f>
        <v>0.516666666666667</v>
      </c>
    </row>
    <row r="6" customFormat="false" ht="15" hidden="false" customHeight="true" outlineLevel="0" collapsed="false">
      <c r="A6" s="9" t="s">
        <v>31</v>
      </c>
      <c r="B6" s="9" t="n">
        <f aca="false">SUMIF($B$18:$B$42,$A6,C$18:C$42)</f>
        <v>38</v>
      </c>
      <c r="C6" s="9" t="n">
        <f aca="false">SUMIF($B$18:$B$42,$A6,D$18:D$42)</f>
        <v>32</v>
      </c>
      <c r="D6" s="9" t="n">
        <f aca="false">SUMIF($B$18:$B$42,$A6,E$18:E$42)</f>
        <v>4</v>
      </c>
      <c r="E6" s="9" t="n">
        <f aca="false">SUMIF($B$18:$B$42,$A6,F$18:F$42)</f>
        <v>0</v>
      </c>
      <c r="F6" s="9" t="n">
        <f aca="false">SUMIF($B$18:$B$42,$A6,G$18:G$42)</f>
        <v>0</v>
      </c>
      <c r="G6" s="9" t="n">
        <f aca="false">SUMIF($B$18:$B$42,$A6,H$18:H$42)</f>
        <v>2</v>
      </c>
      <c r="H6" s="9" t="n">
        <f aca="false">SUMIF($B$18:$B$42,$A6,I$18:I$42)</f>
        <v>15</v>
      </c>
      <c r="I6" s="9" t="n">
        <f aca="false">SUMIF($B$18:$B$42,$A6,J$18:J$42)</f>
        <v>13</v>
      </c>
      <c r="J6" s="9" t="n">
        <f aca="false">SUMIF($B$18:$B$42,$A6,K$18:K$42)</f>
        <v>10</v>
      </c>
      <c r="K6" s="9" t="n">
        <f aca="false">SUMIF($B$18:$B$42,$A6,L$18:L$42)</f>
        <v>0</v>
      </c>
      <c r="L6" s="9" t="n">
        <f aca="false">SUMIF($B$18:$B$42,$A6,M$18:M$42)</f>
        <v>0</v>
      </c>
      <c r="M6" s="9" t="n">
        <f aca="false">SUMIF($B$18:$B$42,$A6,N$18:N$42)</f>
        <v>38</v>
      </c>
      <c r="N6" s="9" t="n">
        <f aca="false">SUMIF($B$18:$B$42,$A6,O$18:O$42)</f>
        <v>0</v>
      </c>
      <c r="O6" s="9" t="n">
        <f aca="false">SUMIF($B$18:$B$42,$A6,P$18:P$42)</f>
        <v>0</v>
      </c>
      <c r="P6" s="10" t="n">
        <f aca="false">IF(B6=0,0,1-L6/B6)</f>
        <v>1</v>
      </c>
    </row>
    <row r="7" customFormat="false" ht="15" hidden="false" customHeight="true" outlineLevel="0" collapsed="false">
      <c r="A7" s="9" t="s">
        <v>32</v>
      </c>
      <c r="B7" s="9" t="n">
        <f aca="false">SUMIF($B$18:$B$42,$A7,C$18:C$42)</f>
        <v>107</v>
      </c>
      <c r="C7" s="9" t="n">
        <f aca="false">SUMIF($B$18:$B$42,$A7,D$18:D$42)</f>
        <v>78</v>
      </c>
      <c r="D7" s="9" t="n">
        <f aca="false">SUMIF($B$18:$B$42,$A7,E$18:E$42)</f>
        <v>12</v>
      </c>
      <c r="E7" s="9" t="n">
        <f aca="false">SUMIF($B$18:$B$42,$A7,F$18:F$42)</f>
        <v>4</v>
      </c>
      <c r="F7" s="9" t="n">
        <f aca="false">SUMIF($B$18:$B$42,$A7,G$18:G$42)</f>
        <v>4</v>
      </c>
      <c r="G7" s="9" t="n">
        <f aca="false">SUMIF($B$18:$B$42,$A7,H$18:H$42)</f>
        <v>9</v>
      </c>
      <c r="H7" s="9" t="n">
        <f aca="false">SUMIF($B$18:$B$42,$A7,I$18:I$42)</f>
        <v>50</v>
      </c>
      <c r="I7" s="9" t="n">
        <f aca="false">SUMIF($B$18:$B$42,$A7,J$18:J$42)</f>
        <v>20</v>
      </c>
      <c r="J7" s="9" t="n">
        <f aca="false">SUMIF($B$18:$B$42,$A7,K$18:K$42)</f>
        <v>29</v>
      </c>
      <c r="K7" s="9" t="n">
        <f aca="false">SUMIF($B$18:$B$42,$A7,L$18:L$42)</f>
        <v>0</v>
      </c>
      <c r="L7" s="9" t="n">
        <f aca="false">SUMIF($B$18:$B$42,$A7,M$18:M$42)</f>
        <v>8</v>
      </c>
      <c r="M7" s="9" t="n">
        <f aca="false">SUMIF($B$18:$B$42,$A7,N$18:N$42)</f>
        <v>100</v>
      </c>
      <c r="N7" s="9" t="n">
        <f aca="false">SUMIF($B$18:$B$42,$A7,O$18:O$42)</f>
        <v>0</v>
      </c>
      <c r="O7" s="9" t="n">
        <f aca="false">SUMIF($B$18:$B$42,$A7,P$18:P$42)</f>
        <v>7</v>
      </c>
      <c r="P7" s="10" t="n">
        <f aca="false">IF(B7=0,0,1-L7/B7)</f>
        <v>0.925233644859813</v>
      </c>
    </row>
    <row r="8" customFormat="false" ht="15" hidden="false" customHeight="true" outlineLevel="0" collapsed="false">
      <c r="A8" s="9" t="s">
        <v>33</v>
      </c>
      <c r="B8" s="9" t="n">
        <f aca="false">SUMIF($B$18:$B$42,$A8,C$18:C$42)</f>
        <v>22</v>
      </c>
      <c r="C8" s="9" t="n">
        <f aca="false">SUMIF($B$18:$B$42,$A8,D$18:D$42)</f>
        <v>17</v>
      </c>
      <c r="D8" s="9" t="n">
        <f aca="false">SUMIF($B$18:$B$42,$A8,E$18:E$42)</f>
        <v>5</v>
      </c>
      <c r="E8" s="9" t="n">
        <f aca="false">SUMIF($B$18:$B$42,$A8,F$18:F$42)</f>
        <v>0</v>
      </c>
      <c r="F8" s="9" t="n">
        <f aca="false">SUMIF($B$18:$B$42,$A8,G$18:G$42)</f>
        <v>0</v>
      </c>
      <c r="G8" s="9" t="n">
        <f aca="false">SUMIF($B$18:$B$42,$A8,H$18:H$42)</f>
        <v>0</v>
      </c>
      <c r="H8" s="9" t="n">
        <f aca="false">SUMIF($B$18:$B$42,$A8,I$18:I$42)</f>
        <v>13</v>
      </c>
      <c r="I8" s="9" t="n">
        <f aca="false">SUMIF($B$18:$B$42,$A8,J$18:J$42)</f>
        <v>4</v>
      </c>
      <c r="J8" s="9" t="n">
        <f aca="false">SUMIF($B$18:$B$42,$A8,K$18:K$42)</f>
        <v>5</v>
      </c>
      <c r="K8" s="9" t="n">
        <f aca="false">SUMIF($B$18:$B$42,$A8,L$18:L$42)</f>
        <v>0</v>
      </c>
      <c r="L8" s="9" t="n">
        <f aca="false">SUMIF($B$18:$B$42,$A8,M$18:M$42)</f>
        <v>0</v>
      </c>
      <c r="M8" s="9" t="n">
        <f aca="false">SUMIF($B$18:$B$42,$A8,N$18:N$42)</f>
        <v>19</v>
      </c>
      <c r="N8" s="9" t="n">
        <f aca="false">SUMIF($B$18:$B$42,$A8,O$18:O$42)</f>
        <v>3</v>
      </c>
      <c r="O8" s="9" t="n">
        <f aca="false">SUMIF($B$18:$B$42,$A8,P$18:P$42)</f>
        <v>0</v>
      </c>
      <c r="P8" s="10" t="n">
        <f aca="false">IF(B8=0,0,1-L8/B8)</f>
        <v>1</v>
      </c>
    </row>
    <row r="9" customFormat="false" ht="15" hidden="false" customHeight="true" outlineLevel="0" collapsed="false">
      <c r="A9" s="9" t="s">
        <v>34</v>
      </c>
      <c r="B9" s="9" t="n">
        <f aca="false">SUMIF($B$18:$B$42,$A9,C$18:C$42)</f>
        <v>81</v>
      </c>
      <c r="C9" s="9" t="n">
        <f aca="false">SUMIF($B$18:$B$42,$A9,D$18:D$42)</f>
        <v>0</v>
      </c>
      <c r="D9" s="9" t="n">
        <f aca="false">SUMIF($B$18:$B$42,$A9,E$18:E$42)</f>
        <v>0</v>
      </c>
      <c r="E9" s="9" t="n">
        <f aca="false">SUMIF($B$18:$B$42,$A9,F$18:F$42)</f>
        <v>74</v>
      </c>
      <c r="F9" s="9" t="n">
        <f aca="false">SUMIF($B$18:$B$42,$A9,G$18:G$42)</f>
        <v>7</v>
      </c>
      <c r="G9" s="9" t="n">
        <f aca="false">SUMIF($B$18:$B$42,$A9,H$18:H$42)</f>
        <v>0</v>
      </c>
      <c r="H9" s="9" t="n">
        <f aca="false">SUMIF($B$18:$B$42,$A9,I$18:I$42)</f>
        <v>0</v>
      </c>
      <c r="I9" s="9" t="n">
        <f aca="false">SUMIF($B$18:$B$42,$A9,J$18:J$42)</f>
        <v>0</v>
      </c>
      <c r="J9" s="9" t="n">
        <f aca="false">SUMIF($B$18:$B$42,$A9,K$18:K$42)</f>
        <v>0</v>
      </c>
      <c r="K9" s="9" t="n">
        <f aca="false">SUMIF($B$18:$B$42,$A9,L$18:L$42)</f>
        <v>0</v>
      </c>
      <c r="L9" s="9" t="n">
        <f aca="false">SUMIF($B$18:$B$42,$A9,M$18:M$42)</f>
        <v>81</v>
      </c>
      <c r="M9" s="9" t="n">
        <f aca="false">SUMIF($B$18:$B$42,$A9,N$18:N$42)</f>
        <v>0</v>
      </c>
      <c r="N9" s="9" t="n">
        <f aca="false">SUMIF($B$18:$B$42,$A9,O$18:O$42)</f>
        <v>0</v>
      </c>
      <c r="O9" s="9" t="n">
        <f aca="false">SUMIF($B$18:$B$42,$A9,P$18:P$42)</f>
        <v>81</v>
      </c>
      <c r="P9" s="10" t="n">
        <f aca="false">IF(B9=0,0,1-L9/B9)</f>
        <v>0</v>
      </c>
    </row>
    <row r="10" customFormat="false" ht="15" hidden="false" customHeight="true" outlineLevel="0" collapsed="false">
      <c r="A10" s="9" t="s">
        <v>35</v>
      </c>
      <c r="B10" s="9" t="n">
        <f aca="false">SUMIF($B$18:$B$42,$A10,C$18:C$42)</f>
        <v>78</v>
      </c>
      <c r="C10" s="9" t="n">
        <f aca="false">SUMIF($B$18:$B$42,$A10,D$18:D$42)</f>
        <v>8</v>
      </c>
      <c r="D10" s="9" t="n">
        <f aca="false">SUMIF($B$18:$B$42,$A10,E$18:E$42)</f>
        <v>0</v>
      </c>
      <c r="E10" s="9" t="n">
        <f aca="false">SUMIF($B$18:$B$42,$A10,F$18:F$42)</f>
        <v>1</v>
      </c>
      <c r="F10" s="9" t="n">
        <f aca="false">SUMIF($B$18:$B$42,$A10,G$18:G$42)</f>
        <v>69</v>
      </c>
      <c r="G10" s="9" t="n">
        <f aca="false">SUMIF($B$18:$B$42,$A10,H$18:H$42)</f>
        <v>0</v>
      </c>
      <c r="H10" s="9" t="n">
        <f aca="false">SUMIF($B$18:$B$42,$A10,I$18:I$42)</f>
        <v>2</v>
      </c>
      <c r="I10" s="9" t="n">
        <f aca="false">SUMIF($B$18:$B$42,$A10,J$18:J$42)</f>
        <v>1</v>
      </c>
      <c r="J10" s="9" t="n">
        <f aca="false">SUMIF($B$18:$B$42,$A10,K$18:K$42)</f>
        <v>5</v>
      </c>
      <c r="K10" s="9" t="n">
        <f aca="false">SUMIF($B$18:$B$42,$A10,L$18:L$42)</f>
        <v>0</v>
      </c>
      <c r="L10" s="9" t="n">
        <f aca="false">SUMIF($B$18:$B$42,$A10,M$18:M$42)</f>
        <v>70</v>
      </c>
      <c r="M10" s="9" t="n">
        <f aca="false">SUMIF($B$18:$B$42,$A10,N$18:N$42)</f>
        <v>8</v>
      </c>
      <c r="N10" s="9" t="n">
        <f aca="false">SUMIF($B$18:$B$42,$A10,O$18:O$42)</f>
        <v>0</v>
      </c>
      <c r="O10" s="9" t="n">
        <f aca="false">SUMIF($B$18:$B$42,$A10,P$18:P$42)</f>
        <v>70</v>
      </c>
      <c r="P10" s="10" t="n">
        <f aca="false">IF(B10=0,0,1-L10/B10)</f>
        <v>0.102564102564103</v>
      </c>
    </row>
    <row r="11" customFormat="false" ht="15" hidden="false" customHeight="true" outlineLevel="0" collapsed="false">
      <c r="A11" s="9" t="s">
        <v>36</v>
      </c>
      <c r="B11" s="9" t="n">
        <f aca="false">SUMIF($B$18:$B$42,$A11,C$18:C$42)</f>
        <v>18</v>
      </c>
      <c r="C11" s="9" t="n">
        <f aca="false">SUMIF($B$18:$B$42,$A11,D$18:D$42)</f>
        <v>7</v>
      </c>
      <c r="D11" s="9" t="n">
        <f aca="false">SUMIF($B$18:$B$42,$A11,E$18:E$42)</f>
        <v>0</v>
      </c>
      <c r="E11" s="9" t="n">
        <f aca="false">SUMIF($B$18:$B$42,$A11,F$18:F$42)</f>
        <v>0</v>
      </c>
      <c r="F11" s="9" t="n">
        <f aca="false">SUMIF($B$18:$B$42,$A11,G$18:G$42)</f>
        <v>10</v>
      </c>
      <c r="G11" s="9" t="n">
        <f aca="false">SUMIF($B$18:$B$42,$A11,H$18:H$42)</f>
        <v>1</v>
      </c>
      <c r="H11" s="9" t="n">
        <f aca="false">SUMIF($B$18:$B$42,$A11,I$18:I$42)</f>
        <v>1</v>
      </c>
      <c r="I11" s="9" t="n">
        <f aca="false">SUMIF($B$18:$B$42,$A11,J$18:J$42)</f>
        <v>2</v>
      </c>
      <c r="J11" s="9" t="n">
        <f aca="false">SUMIF($B$18:$B$42,$A11,K$18:K$42)</f>
        <v>5</v>
      </c>
      <c r="K11" s="9" t="n">
        <f aca="false">SUMIF($B$18:$B$42,$A11,L$18:L$42)</f>
        <v>0</v>
      </c>
      <c r="L11" s="9" t="n">
        <f aca="false">SUMIF($B$18:$B$42,$A11,M$18:M$42)</f>
        <v>10</v>
      </c>
      <c r="M11" s="9" t="n">
        <f aca="false">SUMIF($B$18:$B$42,$A11,N$18:N$42)</f>
        <v>4</v>
      </c>
      <c r="N11" s="9" t="n">
        <f aca="false">SUMIF($B$18:$B$42,$A11,O$18:O$42)</f>
        <v>4</v>
      </c>
      <c r="O11" s="9" t="n">
        <f aca="false">SUMIF($B$18:$B$42,$A11,P$18:P$42)</f>
        <v>10</v>
      </c>
      <c r="P11" s="10" t="n">
        <f aca="false">IF(B11=0,0,1-L11/B11)</f>
        <v>0.444444444444444</v>
      </c>
    </row>
    <row r="12" customFormat="false" ht="15" hidden="false" customHeight="true" outlineLevel="0" collapsed="false">
      <c r="A12" s="11" t="s">
        <v>7</v>
      </c>
      <c r="B12" s="11" t="n">
        <f aca="false">SUM(B5:B11)</f>
        <v>464</v>
      </c>
      <c r="C12" s="11" t="n">
        <f aca="false">SUM(C5:C11)</f>
        <v>196</v>
      </c>
      <c r="D12" s="11" t="n">
        <f aca="false">SUM(D5:D11)</f>
        <v>22</v>
      </c>
      <c r="E12" s="11" t="n">
        <f aca="false">SUM(E5:E11)</f>
        <v>132</v>
      </c>
      <c r="F12" s="11" t="n">
        <f aca="false">SUM(F5:F11)</f>
        <v>95</v>
      </c>
      <c r="G12" s="11" t="n">
        <f aca="false">SUM(G5:G11)</f>
        <v>19</v>
      </c>
      <c r="H12" s="11" t="n">
        <f aca="false">SUM(H5:H11)</f>
        <v>89</v>
      </c>
      <c r="I12" s="11" t="n">
        <f aca="false">SUM(I5:I11)</f>
        <v>62</v>
      </c>
      <c r="J12" s="11" t="n">
        <f aca="false">SUM(J5:J11)</f>
        <v>86</v>
      </c>
      <c r="K12" s="11" t="n">
        <f aca="false">SUM(K5:K11)</f>
        <v>0</v>
      </c>
      <c r="L12" s="11" t="n">
        <f aca="false">SUM(L5:L11)</f>
        <v>227</v>
      </c>
      <c r="M12" s="11" t="n">
        <f aca="false">SUM(M5:M11)</f>
        <v>231</v>
      </c>
      <c r="N12" s="11" t="n">
        <f aca="false">SUM(N5:N11)</f>
        <v>7</v>
      </c>
      <c r="O12" s="11" t="n">
        <f aca="false">SUM(O5:O11)</f>
        <v>226</v>
      </c>
      <c r="P12" s="12" t="n">
        <f aca="false">IF(B12=0,0,1-L12/B12)</f>
        <v>0.510775862068966</v>
      </c>
    </row>
    <row r="13" customFormat="false" ht="15" hidden="false" customHeight="true" outlineLevel="0" collapsed="false">
      <c r="A13" s="1" t="s">
        <v>37</v>
      </c>
      <c r="B13" s="1" t="n">
        <f aca="false">COUNTA(Master!$D$2:$D$2000)-B12</f>
        <v>0</v>
      </c>
    </row>
    <row r="16" customFormat="false" ht="15" hidden="false" customHeight="true" outlineLevel="0" collapsed="false">
      <c r="A16" s="7" t="s">
        <v>38</v>
      </c>
    </row>
    <row r="17" customFormat="false" ht="42" hidden="false" customHeight="true" outlineLevel="0" collapsed="false">
      <c r="A17" s="8" t="s">
        <v>39</v>
      </c>
      <c r="B17" s="8" t="s">
        <v>40</v>
      </c>
      <c r="C17" s="8" t="s">
        <v>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19</v>
      </c>
      <c r="J17" s="8" t="s">
        <v>18</v>
      </c>
      <c r="K17" s="8" t="s">
        <v>17</v>
      </c>
      <c r="L17" s="8" t="s">
        <v>20</v>
      </c>
      <c r="M17" s="8" t="s">
        <v>21</v>
      </c>
      <c r="N17" s="8" t="s">
        <v>22</v>
      </c>
      <c r="O17" s="8" t="s">
        <v>28</v>
      </c>
      <c r="P17" s="8" t="s">
        <v>23</v>
      </c>
      <c r="Q17" s="8" t="s">
        <v>29</v>
      </c>
    </row>
    <row r="18" customFormat="false" ht="15" hidden="false" customHeight="true" outlineLevel="0" collapsed="false">
      <c r="A18" s="9" t="s">
        <v>41</v>
      </c>
      <c r="B18" s="9" t="s">
        <v>30</v>
      </c>
      <c r="C18" s="9" t="n">
        <f aca="false">COUNTIF(Master!$D$2:$D$2000,"*"&amp;$A18)</f>
        <v>120</v>
      </c>
      <c r="D18" s="9" t="n">
        <f aca="false">COUNTIFS(Master!$D$2:$D$2000,"*"&amp;$A18,Master!$H$2:$H$2000,D$17)</f>
        <v>54</v>
      </c>
      <c r="E18" s="9" t="n">
        <f aca="false">COUNTIFS(Master!$D$2:$D$2000,"*"&amp;$A18,Master!$H$2:$H$2000,E$17)</f>
        <v>1</v>
      </c>
      <c r="F18" s="9" t="n">
        <f aca="false">COUNTIFS(Master!$D$2:$D$2000,"*"&amp;$A18,Master!$H$2:$H$2000,F$17)</f>
        <v>53</v>
      </c>
      <c r="G18" s="9" t="n">
        <f aca="false">COUNTIFS(Master!$D$2:$D$2000,"*"&amp;$A18,Master!$H$2:$H$2000,G$17)</f>
        <v>5</v>
      </c>
      <c r="H18" s="9" t="n">
        <f aca="false">COUNTIFS(Master!$D$2:$D$2000,"*"&amp;$A18,Master!$H$2:$H$2000,H$17)</f>
        <v>7</v>
      </c>
      <c r="I18" s="9" t="n">
        <f aca="false">COUNTIFS(Master!$D$2:$D$2000,"*"&amp;$A18,Master!$K$2:$K$2000,I$17)</f>
        <v>8</v>
      </c>
      <c r="J18" s="9" t="n">
        <f aca="false">COUNTIFS(Master!$D$2:$D$2000,"*"&amp;$A18,Master!$K$2:$K$2000,J$17)</f>
        <v>22</v>
      </c>
      <c r="K18" s="9" t="n">
        <f aca="false">COUNTIFS(Master!$D$2:$D$2000,"*"&amp;$A18,Master!$K$2:$K$2000,K$17)</f>
        <v>32</v>
      </c>
      <c r="L18" s="9" t="n">
        <f aca="false">COUNTIFS(Master!$D$2:$D$2000,"*"&amp;$A18,Master!$K$2:$K$2000,L$17)</f>
        <v>0</v>
      </c>
      <c r="M18" s="9" t="n">
        <f aca="false">COUNTIFS(Master!$D$2:$D$2000,"*"&amp;$A18,Master!$K$2:$K$2000,M$17)</f>
        <v>58</v>
      </c>
      <c r="N18" s="9" t="n">
        <f aca="false">COUNTIFS(Master!$D$2:$D$2000,"*"&amp;$A18,Master!$G$2:$G$2000,N$17)</f>
        <v>62</v>
      </c>
      <c r="O18" s="9" t="n">
        <f aca="false">COUNTIFS(Master!$D$2:$D$2000,"*"&amp;$A18,Master!$G$2:$G$2000,O$17)</f>
        <v>0</v>
      </c>
      <c r="P18" s="9" t="n">
        <f aca="false">COUNTIFS(Master!$D$2:$D$2000,"*"&amp;$A18,Master!$G$2:$G$2000,P$17)</f>
        <v>58</v>
      </c>
      <c r="Q18" s="10" t="n">
        <f aca="false">IF(C18=0,0,1-M18/C18)</f>
        <v>0.516666666666667</v>
      </c>
    </row>
    <row r="19" customFormat="false" ht="15" hidden="false" customHeight="true" outlineLevel="0" collapsed="false">
      <c r="A19" s="9" t="s">
        <v>42</v>
      </c>
      <c r="B19" s="9" t="s">
        <v>31</v>
      </c>
      <c r="C19" s="9" t="n">
        <f aca="false">COUNTIF(Master!$D$2:$D$2000,"*"&amp;$A19)</f>
        <v>38</v>
      </c>
      <c r="D19" s="9" t="n">
        <f aca="false">COUNTIFS(Master!$D$2:$D$2000,"*"&amp;$A19,Master!$H$2:$H$2000,D$17)</f>
        <v>32</v>
      </c>
      <c r="E19" s="9" t="n">
        <f aca="false">COUNTIFS(Master!$D$2:$D$2000,"*"&amp;$A19,Master!$H$2:$H$2000,E$17)</f>
        <v>4</v>
      </c>
      <c r="F19" s="9" t="n">
        <f aca="false">COUNTIFS(Master!$D$2:$D$2000,"*"&amp;$A19,Master!$H$2:$H$2000,F$17)</f>
        <v>0</v>
      </c>
      <c r="G19" s="9" t="n">
        <f aca="false">COUNTIFS(Master!$D$2:$D$2000,"*"&amp;$A19,Master!$H$2:$H$2000,G$17)</f>
        <v>0</v>
      </c>
      <c r="H19" s="9" t="n">
        <f aca="false">COUNTIFS(Master!$D$2:$D$2000,"*"&amp;$A19,Master!$H$2:$H$2000,H$17)</f>
        <v>2</v>
      </c>
      <c r="I19" s="9" t="n">
        <f aca="false">COUNTIFS(Master!$D$2:$D$2000,"*"&amp;$A19,Master!$K$2:$K$2000,I$17)</f>
        <v>15</v>
      </c>
      <c r="J19" s="9" t="n">
        <f aca="false">COUNTIFS(Master!$D$2:$D$2000,"*"&amp;$A19,Master!$K$2:$K$2000,J$17)</f>
        <v>13</v>
      </c>
      <c r="K19" s="9" t="n">
        <f aca="false">COUNTIFS(Master!$D$2:$D$2000,"*"&amp;$A19,Master!$K$2:$K$2000,K$17)</f>
        <v>10</v>
      </c>
      <c r="L19" s="9" t="n">
        <f aca="false">COUNTIFS(Master!$D$2:$D$2000,"*"&amp;$A19,Master!$K$2:$K$2000,L$17)</f>
        <v>0</v>
      </c>
      <c r="M19" s="9" t="n">
        <f aca="false">COUNTIFS(Master!$D$2:$D$2000,"*"&amp;$A19,Master!$K$2:$K$2000,M$17)</f>
        <v>0</v>
      </c>
      <c r="N19" s="9" t="n">
        <f aca="false">COUNTIFS(Master!$D$2:$D$2000,"*"&amp;$A19,Master!$G$2:$G$2000,N$17)</f>
        <v>38</v>
      </c>
      <c r="O19" s="9" t="n">
        <f aca="false">COUNTIFS(Master!$D$2:$D$2000,"*"&amp;$A19,Master!$G$2:$G$2000,O$17)</f>
        <v>0</v>
      </c>
      <c r="P19" s="9" t="n">
        <f aca="false">COUNTIFS(Master!$D$2:$D$2000,"*"&amp;$A19,Master!$G$2:$G$2000,P$17)</f>
        <v>0</v>
      </c>
      <c r="Q19" s="10" t="n">
        <f aca="false">IF(C19=0,0,1-M19/C19)</f>
        <v>1</v>
      </c>
    </row>
    <row r="20" customFormat="false" ht="15" hidden="false" customHeight="true" outlineLevel="0" collapsed="false">
      <c r="A20" s="9" t="s">
        <v>43</v>
      </c>
      <c r="B20" s="9" t="s">
        <v>32</v>
      </c>
      <c r="C20" s="9" t="n">
        <f aca="false">COUNTIF(Master!$D$2:$D$2000,"*"&amp;$A20)</f>
        <v>93</v>
      </c>
      <c r="D20" s="9" t="n">
        <f aca="false">COUNTIFS(Master!$D$2:$D$2000,"*"&amp;$A20,Master!$H$2:$H$2000,D$17)</f>
        <v>71</v>
      </c>
      <c r="E20" s="9" t="n">
        <f aca="false">COUNTIFS(Master!$D$2:$D$2000,"*"&amp;$A20,Master!$H$2:$H$2000,E$17)</f>
        <v>12</v>
      </c>
      <c r="F20" s="9" t="n">
        <f aca="false">COUNTIFS(Master!$D$2:$D$2000,"*"&amp;$A20,Master!$H$2:$H$2000,F$17)</f>
        <v>1</v>
      </c>
      <c r="G20" s="9" t="n">
        <f aca="false">COUNTIFS(Master!$D$2:$D$2000,"*"&amp;$A20,Master!$H$2:$H$2000,G$17)</f>
        <v>0</v>
      </c>
      <c r="H20" s="9" t="n">
        <f aca="false">COUNTIFS(Master!$D$2:$D$2000,"*"&amp;$A20,Master!$H$2:$H$2000,H$17)</f>
        <v>9</v>
      </c>
      <c r="I20" s="9" t="n">
        <f aca="false">COUNTIFS(Master!$D$2:$D$2000,"*"&amp;$A20,Master!$K$2:$K$2000,I$17)</f>
        <v>47</v>
      </c>
      <c r="J20" s="9" t="n">
        <f aca="false">COUNTIFS(Master!$D$2:$D$2000,"*"&amp;$A20,Master!$K$2:$K$2000,J$17)</f>
        <v>20</v>
      </c>
      <c r="K20" s="9" t="n">
        <f aca="false">COUNTIFS(Master!$D$2:$D$2000,"*"&amp;$A20,Master!$K$2:$K$2000,K$17)</f>
        <v>25</v>
      </c>
      <c r="L20" s="9" t="n">
        <f aca="false">COUNTIFS(Master!$D$2:$D$2000,"*"&amp;$A20,Master!$K$2:$K$2000,L$17)</f>
        <v>0</v>
      </c>
      <c r="M20" s="9" t="n">
        <f aca="false">COUNTIFS(Master!$D$2:$D$2000,"*"&amp;$A20,Master!$K$2:$K$2000,M$17)</f>
        <v>1</v>
      </c>
      <c r="N20" s="9" t="n">
        <f aca="false">COUNTIFS(Master!$D$2:$D$2000,"*"&amp;$A20,Master!$G$2:$G$2000,N$17)</f>
        <v>93</v>
      </c>
      <c r="O20" s="9" t="n">
        <f aca="false">COUNTIFS(Master!$D$2:$D$2000,"*"&amp;$A20,Master!$G$2:$G$2000,O$17)</f>
        <v>0</v>
      </c>
      <c r="P20" s="9" t="n">
        <f aca="false">COUNTIFS(Master!$D$2:$D$2000,"*"&amp;$A20,Master!$G$2:$G$2000,P$17)</f>
        <v>0</v>
      </c>
      <c r="Q20" s="10" t="n">
        <f aca="false">IF(C20=0,0,1-M20/C20)</f>
        <v>0.989247311827957</v>
      </c>
    </row>
    <row r="21" customFormat="false" ht="15" hidden="false" customHeight="true" outlineLevel="0" collapsed="false">
      <c r="A21" s="9" t="s">
        <v>44</v>
      </c>
      <c r="B21" s="9" t="s">
        <v>32</v>
      </c>
      <c r="C21" s="9" t="n">
        <f aca="false">COUNTIF(Master!$D$2:$D$2000,"*"&amp;$A21)</f>
        <v>14</v>
      </c>
      <c r="D21" s="9" t="n">
        <f aca="false">COUNTIFS(Master!$D$2:$D$2000,"*"&amp;$A21,Master!$H$2:$H$2000,D$17)</f>
        <v>7</v>
      </c>
      <c r="E21" s="9" t="n">
        <f aca="false">COUNTIFS(Master!$D$2:$D$2000,"*"&amp;$A21,Master!$H$2:$H$2000,E$17)</f>
        <v>0</v>
      </c>
      <c r="F21" s="9" t="n">
        <f aca="false">COUNTIFS(Master!$D$2:$D$2000,"*"&amp;$A21,Master!$H$2:$H$2000,F$17)</f>
        <v>3</v>
      </c>
      <c r="G21" s="9" t="n">
        <f aca="false">COUNTIFS(Master!$D$2:$D$2000,"*"&amp;$A21,Master!$H$2:$H$2000,G$17)</f>
        <v>4</v>
      </c>
      <c r="H21" s="9" t="n">
        <f aca="false">COUNTIFS(Master!$D$2:$D$2000,"*"&amp;$A21,Master!$H$2:$H$2000,H$17)</f>
        <v>0</v>
      </c>
      <c r="I21" s="9" t="n">
        <f aca="false">COUNTIFS(Master!$D$2:$D$2000,"*"&amp;$A21,Master!$K$2:$K$2000,I$17)</f>
        <v>3</v>
      </c>
      <c r="J21" s="9" t="n">
        <f aca="false">COUNTIFS(Master!$D$2:$D$2000,"*"&amp;$A21,Master!$K$2:$K$2000,J$17)</f>
        <v>0</v>
      </c>
      <c r="K21" s="9" t="n">
        <f aca="false">COUNTIFS(Master!$D$2:$D$2000,"*"&amp;$A21,Master!$K$2:$K$2000,K$17)</f>
        <v>4</v>
      </c>
      <c r="L21" s="9" t="n">
        <f aca="false">COUNTIFS(Master!$D$2:$D$2000,"*"&amp;$A21,Master!$K$2:$K$2000,L$17)</f>
        <v>0</v>
      </c>
      <c r="M21" s="9" t="n">
        <f aca="false">COUNTIFS(Master!$D$2:$D$2000,"*"&amp;$A21,Master!$K$2:$K$2000,M$17)</f>
        <v>7</v>
      </c>
      <c r="N21" s="9" t="n">
        <f aca="false">COUNTIFS(Master!$D$2:$D$2000,"*"&amp;$A21,Master!$G$2:$G$2000,N$17)</f>
        <v>7</v>
      </c>
      <c r="O21" s="9" t="n">
        <f aca="false">COUNTIFS(Master!$D$2:$D$2000,"*"&amp;$A21,Master!$G$2:$G$2000,O$17)</f>
        <v>0</v>
      </c>
      <c r="P21" s="9" t="n">
        <f aca="false">COUNTIFS(Master!$D$2:$D$2000,"*"&amp;$A21,Master!$G$2:$G$2000,P$17)</f>
        <v>7</v>
      </c>
      <c r="Q21" s="10" t="n">
        <f aca="false">IF(C21=0,0,1-M21/C21)</f>
        <v>0.5</v>
      </c>
    </row>
    <row r="22" customFormat="false" ht="15" hidden="false" customHeight="true" outlineLevel="0" collapsed="false">
      <c r="A22" s="9" t="s">
        <v>45</v>
      </c>
      <c r="B22" s="9" t="s">
        <v>33</v>
      </c>
      <c r="C22" s="9" t="n">
        <f aca="false">COUNTIF(Master!$D$2:$D$2000,"*"&amp;$A22)</f>
        <v>22</v>
      </c>
      <c r="D22" s="9" t="n">
        <f aca="false">COUNTIFS(Master!$D$2:$D$2000,"*"&amp;$A22,Master!$H$2:$H$2000,D$17)</f>
        <v>17</v>
      </c>
      <c r="E22" s="9" t="n">
        <f aca="false">COUNTIFS(Master!$D$2:$D$2000,"*"&amp;$A22,Master!$H$2:$H$2000,E$17)</f>
        <v>5</v>
      </c>
      <c r="F22" s="9" t="n">
        <f aca="false">COUNTIFS(Master!$D$2:$D$2000,"*"&amp;$A22,Master!$H$2:$H$2000,F$17)</f>
        <v>0</v>
      </c>
      <c r="G22" s="9" t="n">
        <f aca="false">COUNTIFS(Master!$D$2:$D$2000,"*"&amp;$A22,Master!$H$2:$H$2000,G$17)</f>
        <v>0</v>
      </c>
      <c r="H22" s="9" t="n">
        <f aca="false">COUNTIFS(Master!$D$2:$D$2000,"*"&amp;$A22,Master!$H$2:$H$2000,H$17)</f>
        <v>0</v>
      </c>
      <c r="I22" s="9" t="n">
        <f aca="false">COUNTIFS(Master!$D$2:$D$2000,"*"&amp;$A22,Master!$K$2:$K$2000,I$17)</f>
        <v>13</v>
      </c>
      <c r="J22" s="9" t="n">
        <f aca="false">COUNTIFS(Master!$D$2:$D$2000,"*"&amp;$A22,Master!$K$2:$K$2000,J$17)</f>
        <v>4</v>
      </c>
      <c r="K22" s="9" t="n">
        <f aca="false">COUNTIFS(Master!$D$2:$D$2000,"*"&amp;$A22,Master!$K$2:$K$2000,K$17)</f>
        <v>5</v>
      </c>
      <c r="L22" s="9" t="n">
        <f aca="false">COUNTIFS(Master!$D$2:$D$2000,"*"&amp;$A22,Master!$K$2:$K$2000,L$17)</f>
        <v>0</v>
      </c>
      <c r="M22" s="9" t="n">
        <f aca="false">COUNTIFS(Master!$D$2:$D$2000,"*"&amp;$A22,Master!$K$2:$K$2000,M$17)</f>
        <v>0</v>
      </c>
      <c r="N22" s="9" t="n">
        <f aca="false">COUNTIFS(Master!$D$2:$D$2000,"*"&amp;$A22,Master!$G$2:$G$2000,N$17)</f>
        <v>19</v>
      </c>
      <c r="O22" s="9" t="n">
        <f aca="false">COUNTIFS(Master!$D$2:$D$2000,"*"&amp;$A22,Master!$G$2:$G$2000,O$17)</f>
        <v>3</v>
      </c>
      <c r="P22" s="9" t="n">
        <f aca="false">COUNTIFS(Master!$D$2:$D$2000,"*"&amp;$A22,Master!$G$2:$G$2000,P$17)</f>
        <v>0</v>
      </c>
      <c r="Q22" s="10" t="n">
        <f aca="false">IF(C22=0,0,1-M22/C22)</f>
        <v>1</v>
      </c>
    </row>
    <row r="23" customFormat="false" ht="15" hidden="false" customHeight="true" outlineLevel="0" collapsed="false">
      <c r="A23" s="9" t="s">
        <v>46</v>
      </c>
      <c r="B23" s="9" t="s">
        <v>34</v>
      </c>
      <c r="C23" s="9" t="n">
        <f aca="false">COUNTIF(Master!$D$2:$D$2000,"*"&amp;$A23)</f>
        <v>58</v>
      </c>
      <c r="D23" s="9" t="n">
        <f aca="false">COUNTIFS(Master!$D$2:$D$2000,"*"&amp;$A23,Master!$H$2:$H$2000,D$17)</f>
        <v>0</v>
      </c>
      <c r="E23" s="9" t="n">
        <f aca="false">COUNTIFS(Master!$D$2:$D$2000,"*"&amp;$A23,Master!$H$2:$H$2000,E$17)</f>
        <v>0</v>
      </c>
      <c r="F23" s="9" t="n">
        <f aca="false">COUNTIFS(Master!$D$2:$D$2000,"*"&amp;$A23,Master!$H$2:$H$2000,F$17)</f>
        <v>58</v>
      </c>
      <c r="G23" s="9" t="n">
        <f aca="false">COUNTIFS(Master!$D$2:$D$2000,"*"&amp;$A23,Master!$H$2:$H$2000,G$17)</f>
        <v>0</v>
      </c>
      <c r="H23" s="9" t="n">
        <f aca="false">COUNTIFS(Master!$D$2:$D$2000,"*"&amp;$A23,Master!$H$2:$H$2000,H$17)</f>
        <v>0</v>
      </c>
      <c r="I23" s="9" t="n">
        <f aca="false">COUNTIFS(Master!$D$2:$D$2000,"*"&amp;$A23,Master!$K$2:$K$2000,I$17)</f>
        <v>0</v>
      </c>
      <c r="J23" s="9" t="n">
        <f aca="false">COUNTIFS(Master!$D$2:$D$2000,"*"&amp;$A23,Master!$K$2:$K$2000,J$17)</f>
        <v>0</v>
      </c>
      <c r="K23" s="9" t="n">
        <f aca="false">COUNTIFS(Master!$D$2:$D$2000,"*"&amp;$A23,Master!$K$2:$K$2000,K$17)</f>
        <v>0</v>
      </c>
      <c r="L23" s="9" t="n">
        <f aca="false">COUNTIFS(Master!$D$2:$D$2000,"*"&amp;$A23,Master!$K$2:$K$2000,L$17)</f>
        <v>0</v>
      </c>
      <c r="M23" s="9" t="n">
        <f aca="false">COUNTIFS(Master!$D$2:$D$2000,"*"&amp;$A23,Master!$K$2:$K$2000,M$17)</f>
        <v>58</v>
      </c>
      <c r="N23" s="9" t="n">
        <f aca="false">COUNTIFS(Master!$D$2:$D$2000,"*"&amp;$A23,Master!$G$2:$G$2000,N$17)</f>
        <v>0</v>
      </c>
      <c r="O23" s="9" t="n">
        <f aca="false">COUNTIFS(Master!$D$2:$D$2000,"*"&amp;$A23,Master!$G$2:$G$2000,O$17)</f>
        <v>0</v>
      </c>
      <c r="P23" s="9" t="n">
        <f aca="false">COUNTIFS(Master!$D$2:$D$2000,"*"&amp;$A23,Master!$G$2:$G$2000,P$17)</f>
        <v>58</v>
      </c>
      <c r="Q23" s="10" t="n">
        <f aca="false">IF(C23=0,0,1-M23/C23)</f>
        <v>0</v>
      </c>
    </row>
    <row r="24" customFormat="false" ht="15" hidden="false" customHeight="true" outlineLevel="0" collapsed="false">
      <c r="A24" s="9" t="s">
        <v>47</v>
      </c>
      <c r="B24" s="9" t="s">
        <v>34</v>
      </c>
      <c r="C24" s="9" t="n">
        <f aca="false">COUNTIF(Master!$D$2:$D$2000,"*"&amp;$A24)</f>
        <v>12</v>
      </c>
      <c r="D24" s="9" t="n">
        <f aca="false">COUNTIFS(Master!$D$2:$D$2000,"*"&amp;$A24,Master!$H$2:$H$2000,D$17)</f>
        <v>0</v>
      </c>
      <c r="E24" s="9" t="n">
        <f aca="false">COUNTIFS(Master!$D$2:$D$2000,"*"&amp;$A24,Master!$H$2:$H$2000,E$17)</f>
        <v>0</v>
      </c>
      <c r="F24" s="9" t="n">
        <f aca="false">COUNTIFS(Master!$D$2:$D$2000,"*"&amp;$A24,Master!$H$2:$H$2000,F$17)</f>
        <v>12</v>
      </c>
      <c r="G24" s="9" t="n">
        <f aca="false">COUNTIFS(Master!$D$2:$D$2000,"*"&amp;$A24,Master!$H$2:$H$2000,G$17)</f>
        <v>0</v>
      </c>
      <c r="H24" s="9" t="n">
        <f aca="false">COUNTIFS(Master!$D$2:$D$2000,"*"&amp;$A24,Master!$H$2:$H$2000,H$17)</f>
        <v>0</v>
      </c>
      <c r="I24" s="9" t="n">
        <f aca="false">COUNTIFS(Master!$D$2:$D$2000,"*"&amp;$A24,Master!$K$2:$K$2000,I$17)</f>
        <v>0</v>
      </c>
      <c r="J24" s="9" t="n">
        <f aca="false">COUNTIFS(Master!$D$2:$D$2000,"*"&amp;$A24,Master!$K$2:$K$2000,J$17)</f>
        <v>0</v>
      </c>
      <c r="K24" s="9" t="n">
        <f aca="false">COUNTIFS(Master!$D$2:$D$2000,"*"&amp;$A24,Master!$K$2:$K$2000,K$17)</f>
        <v>0</v>
      </c>
      <c r="L24" s="9" t="n">
        <f aca="false">COUNTIFS(Master!$D$2:$D$2000,"*"&amp;$A24,Master!$K$2:$K$2000,L$17)</f>
        <v>0</v>
      </c>
      <c r="M24" s="9" t="n">
        <f aca="false">COUNTIFS(Master!$D$2:$D$2000,"*"&amp;$A24,Master!$K$2:$K$2000,M$17)</f>
        <v>12</v>
      </c>
      <c r="N24" s="9" t="n">
        <f aca="false">COUNTIFS(Master!$D$2:$D$2000,"*"&amp;$A24,Master!$G$2:$G$2000,N$17)</f>
        <v>0</v>
      </c>
      <c r="O24" s="9" t="n">
        <f aca="false">COUNTIFS(Master!$D$2:$D$2000,"*"&amp;$A24,Master!$G$2:$G$2000,O$17)</f>
        <v>0</v>
      </c>
      <c r="P24" s="9" t="n">
        <f aca="false">COUNTIFS(Master!$D$2:$D$2000,"*"&amp;$A24,Master!$G$2:$G$2000,P$17)</f>
        <v>12</v>
      </c>
      <c r="Q24" s="10" t="n">
        <f aca="false">IF(C24=0,0,1-M24/C24)</f>
        <v>0</v>
      </c>
    </row>
    <row r="25" customFormat="false" ht="15" hidden="false" customHeight="true" outlineLevel="0" collapsed="false">
      <c r="A25" s="9" t="s">
        <v>48</v>
      </c>
      <c r="B25" s="9" t="s">
        <v>34</v>
      </c>
      <c r="C25" s="9" t="n">
        <f aca="false">COUNTIF(Master!$D$2:$D$2000,"*"&amp;$A25)</f>
        <v>4</v>
      </c>
      <c r="D25" s="9" t="n">
        <f aca="false">COUNTIFS(Master!$D$2:$D$2000,"*"&amp;$A25,Master!$H$2:$H$2000,D$17)</f>
        <v>0</v>
      </c>
      <c r="E25" s="9" t="n">
        <f aca="false">COUNTIFS(Master!$D$2:$D$2000,"*"&amp;$A25,Master!$H$2:$H$2000,E$17)</f>
        <v>0</v>
      </c>
      <c r="F25" s="9" t="n">
        <f aca="false">COUNTIFS(Master!$D$2:$D$2000,"*"&amp;$A25,Master!$H$2:$H$2000,F$17)</f>
        <v>4</v>
      </c>
      <c r="G25" s="9" t="n">
        <f aca="false">COUNTIFS(Master!$D$2:$D$2000,"*"&amp;$A25,Master!$H$2:$H$2000,G$17)</f>
        <v>0</v>
      </c>
      <c r="H25" s="9" t="n">
        <f aca="false">COUNTIFS(Master!$D$2:$D$2000,"*"&amp;$A25,Master!$H$2:$H$2000,H$17)</f>
        <v>0</v>
      </c>
      <c r="I25" s="9" t="n">
        <f aca="false">COUNTIFS(Master!$D$2:$D$2000,"*"&amp;$A25,Master!$K$2:$K$2000,I$17)</f>
        <v>0</v>
      </c>
      <c r="J25" s="9" t="n">
        <f aca="false">COUNTIFS(Master!$D$2:$D$2000,"*"&amp;$A25,Master!$K$2:$K$2000,J$17)</f>
        <v>0</v>
      </c>
      <c r="K25" s="9" t="n">
        <f aca="false">COUNTIFS(Master!$D$2:$D$2000,"*"&amp;$A25,Master!$K$2:$K$2000,K$17)</f>
        <v>0</v>
      </c>
      <c r="L25" s="9" t="n">
        <f aca="false">COUNTIFS(Master!$D$2:$D$2000,"*"&amp;$A25,Master!$K$2:$K$2000,L$17)</f>
        <v>0</v>
      </c>
      <c r="M25" s="9" t="n">
        <f aca="false">COUNTIFS(Master!$D$2:$D$2000,"*"&amp;$A25,Master!$K$2:$K$2000,M$17)</f>
        <v>4</v>
      </c>
      <c r="N25" s="9" t="n">
        <f aca="false">COUNTIFS(Master!$D$2:$D$2000,"*"&amp;$A25,Master!$G$2:$G$2000,N$17)</f>
        <v>0</v>
      </c>
      <c r="O25" s="9" t="n">
        <f aca="false">COUNTIFS(Master!$D$2:$D$2000,"*"&amp;$A25,Master!$G$2:$G$2000,O$17)</f>
        <v>0</v>
      </c>
      <c r="P25" s="9" t="n">
        <f aca="false">COUNTIFS(Master!$D$2:$D$2000,"*"&amp;$A25,Master!$G$2:$G$2000,P$17)</f>
        <v>4</v>
      </c>
      <c r="Q25" s="10" t="n">
        <f aca="false">IF(C25=0,0,1-M25/C25)</f>
        <v>0</v>
      </c>
    </row>
    <row r="26" customFormat="false" ht="15" hidden="false" customHeight="true" outlineLevel="0" collapsed="false">
      <c r="A26" s="9" t="s">
        <v>49</v>
      </c>
      <c r="B26" s="9" t="s">
        <v>34</v>
      </c>
      <c r="C26" s="9" t="n">
        <f aca="false">COUNTIF(Master!$D$2:$D$2000,"*"&amp;$A26)</f>
        <v>4</v>
      </c>
      <c r="D26" s="9" t="n">
        <f aca="false">COUNTIFS(Master!$D$2:$D$2000,"*"&amp;$A26,Master!$H$2:$H$2000,D$17)</f>
        <v>0</v>
      </c>
      <c r="E26" s="9" t="n">
        <f aca="false">COUNTIFS(Master!$D$2:$D$2000,"*"&amp;$A26,Master!$H$2:$H$2000,E$17)</f>
        <v>0</v>
      </c>
      <c r="F26" s="9" t="n">
        <f aca="false">COUNTIFS(Master!$D$2:$D$2000,"*"&amp;$A26,Master!$H$2:$H$2000,F$17)</f>
        <v>0</v>
      </c>
      <c r="G26" s="9" t="n">
        <f aca="false">COUNTIFS(Master!$D$2:$D$2000,"*"&amp;$A26,Master!$H$2:$H$2000,G$17)</f>
        <v>4</v>
      </c>
      <c r="H26" s="9" t="n">
        <f aca="false">COUNTIFS(Master!$D$2:$D$2000,"*"&amp;$A26,Master!$H$2:$H$2000,H$17)</f>
        <v>0</v>
      </c>
      <c r="I26" s="9" t="n">
        <f aca="false">COUNTIFS(Master!$D$2:$D$2000,"*"&amp;$A26,Master!$K$2:$K$2000,I$17)</f>
        <v>0</v>
      </c>
      <c r="J26" s="9" t="n">
        <f aca="false">COUNTIFS(Master!$D$2:$D$2000,"*"&amp;$A26,Master!$K$2:$K$2000,J$17)</f>
        <v>0</v>
      </c>
      <c r="K26" s="9" t="n">
        <f aca="false">COUNTIFS(Master!$D$2:$D$2000,"*"&amp;$A26,Master!$K$2:$K$2000,K$17)</f>
        <v>0</v>
      </c>
      <c r="L26" s="9" t="n">
        <f aca="false">COUNTIFS(Master!$D$2:$D$2000,"*"&amp;$A26,Master!$K$2:$K$2000,L$17)</f>
        <v>0</v>
      </c>
      <c r="M26" s="9" t="n">
        <f aca="false">COUNTIFS(Master!$D$2:$D$2000,"*"&amp;$A26,Master!$K$2:$K$2000,M$17)</f>
        <v>4</v>
      </c>
      <c r="N26" s="9" t="n">
        <f aca="false">COUNTIFS(Master!$D$2:$D$2000,"*"&amp;$A26,Master!$G$2:$G$2000,N$17)</f>
        <v>0</v>
      </c>
      <c r="O26" s="9" t="n">
        <f aca="false">COUNTIFS(Master!$D$2:$D$2000,"*"&amp;$A26,Master!$G$2:$G$2000,O$17)</f>
        <v>0</v>
      </c>
      <c r="P26" s="9" t="n">
        <f aca="false">COUNTIFS(Master!$D$2:$D$2000,"*"&amp;$A26,Master!$G$2:$G$2000,P$17)</f>
        <v>4</v>
      </c>
      <c r="Q26" s="10" t="n">
        <f aca="false">IF(C26=0,0,1-M26/C26)</f>
        <v>0</v>
      </c>
    </row>
    <row r="27" customFormat="false" ht="15" hidden="false" customHeight="true" outlineLevel="0" collapsed="false">
      <c r="A27" s="9" t="s">
        <v>50</v>
      </c>
      <c r="B27" s="9" t="s">
        <v>34</v>
      </c>
      <c r="C27" s="9" t="n">
        <f aca="false">COUNTIF(Master!$D$2:$D$2000,"*"&amp;$A27)</f>
        <v>3</v>
      </c>
      <c r="D27" s="9" t="n">
        <f aca="false">COUNTIFS(Master!$D$2:$D$2000,"*"&amp;$A27,Master!$H$2:$H$2000,D$17)</f>
        <v>0</v>
      </c>
      <c r="E27" s="9" t="n">
        <f aca="false">COUNTIFS(Master!$D$2:$D$2000,"*"&amp;$A27,Master!$H$2:$H$2000,E$17)</f>
        <v>0</v>
      </c>
      <c r="F27" s="9" t="n">
        <f aca="false">COUNTIFS(Master!$D$2:$D$2000,"*"&amp;$A27,Master!$H$2:$H$2000,F$17)</f>
        <v>0</v>
      </c>
      <c r="G27" s="9" t="n">
        <f aca="false">COUNTIFS(Master!$D$2:$D$2000,"*"&amp;$A27,Master!$H$2:$H$2000,G$17)</f>
        <v>3</v>
      </c>
      <c r="H27" s="9" t="n">
        <f aca="false">COUNTIFS(Master!$D$2:$D$2000,"*"&amp;$A27,Master!$H$2:$H$2000,H$17)</f>
        <v>0</v>
      </c>
      <c r="I27" s="9" t="n">
        <f aca="false">COUNTIFS(Master!$D$2:$D$2000,"*"&amp;$A27,Master!$K$2:$K$2000,I$17)</f>
        <v>0</v>
      </c>
      <c r="J27" s="9" t="n">
        <f aca="false">COUNTIFS(Master!$D$2:$D$2000,"*"&amp;$A27,Master!$K$2:$K$2000,J$17)</f>
        <v>0</v>
      </c>
      <c r="K27" s="9" t="n">
        <f aca="false">COUNTIFS(Master!$D$2:$D$2000,"*"&amp;$A27,Master!$K$2:$K$2000,K$17)</f>
        <v>0</v>
      </c>
      <c r="L27" s="9" t="n">
        <f aca="false">COUNTIFS(Master!$D$2:$D$2000,"*"&amp;$A27,Master!$K$2:$K$2000,L$17)</f>
        <v>0</v>
      </c>
      <c r="M27" s="9" t="n">
        <f aca="false">COUNTIFS(Master!$D$2:$D$2000,"*"&amp;$A27,Master!$K$2:$K$2000,M$17)</f>
        <v>3</v>
      </c>
      <c r="N27" s="9" t="n">
        <f aca="false">COUNTIFS(Master!$D$2:$D$2000,"*"&amp;$A27,Master!$G$2:$G$2000,N$17)</f>
        <v>0</v>
      </c>
      <c r="O27" s="9" t="n">
        <f aca="false">COUNTIFS(Master!$D$2:$D$2000,"*"&amp;$A27,Master!$G$2:$G$2000,O$17)</f>
        <v>0</v>
      </c>
      <c r="P27" s="9" t="n">
        <f aca="false">COUNTIFS(Master!$D$2:$D$2000,"*"&amp;$A27,Master!$G$2:$G$2000,P$17)</f>
        <v>3</v>
      </c>
      <c r="Q27" s="10" t="n">
        <f aca="false">IF(C27=0,0,1-M27/C27)</f>
        <v>0</v>
      </c>
    </row>
    <row r="28" customFormat="false" ht="15" hidden="false" customHeight="true" outlineLevel="0" collapsed="false">
      <c r="A28" s="9" t="s">
        <v>51</v>
      </c>
      <c r="B28" s="9" t="s">
        <v>35</v>
      </c>
      <c r="C28" s="9" t="n">
        <f aca="false">COUNTIF(Master!$D$2:$D$2000,"*"&amp;$A28)</f>
        <v>19</v>
      </c>
      <c r="D28" s="9" t="n">
        <f aca="false">COUNTIFS(Master!$D$2:$D$2000,"*"&amp;$A28,Master!$H$2:$H$2000,D$17)</f>
        <v>1</v>
      </c>
      <c r="E28" s="9" t="n">
        <f aca="false">COUNTIFS(Master!$D$2:$D$2000,"*"&amp;$A28,Master!$H$2:$H$2000,E$17)</f>
        <v>0</v>
      </c>
      <c r="F28" s="9" t="n">
        <f aca="false">COUNTIFS(Master!$D$2:$D$2000,"*"&amp;$A28,Master!$H$2:$H$2000,F$17)</f>
        <v>0</v>
      </c>
      <c r="G28" s="9" t="n">
        <f aca="false">COUNTIFS(Master!$D$2:$D$2000,"*"&amp;$A28,Master!$H$2:$H$2000,G$17)</f>
        <v>18</v>
      </c>
      <c r="H28" s="9" t="n">
        <f aca="false">COUNTIFS(Master!$D$2:$D$2000,"*"&amp;$A28,Master!$H$2:$H$2000,H$17)</f>
        <v>0</v>
      </c>
      <c r="I28" s="9" t="n">
        <f aca="false">COUNTIFS(Master!$D$2:$D$2000,"*"&amp;$A28,Master!$K$2:$K$2000,I$17)</f>
        <v>1</v>
      </c>
      <c r="J28" s="9" t="n">
        <f aca="false">COUNTIFS(Master!$D$2:$D$2000,"*"&amp;$A28,Master!$K$2:$K$2000,J$17)</f>
        <v>0</v>
      </c>
      <c r="K28" s="9" t="n">
        <f aca="false">COUNTIFS(Master!$D$2:$D$2000,"*"&amp;$A28,Master!$K$2:$K$2000,K$17)</f>
        <v>0</v>
      </c>
      <c r="L28" s="9" t="n">
        <f aca="false">COUNTIFS(Master!$D$2:$D$2000,"*"&amp;$A28,Master!$K$2:$K$2000,L$17)</f>
        <v>0</v>
      </c>
      <c r="M28" s="9" t="n">
        <f aca="false">COUNTIFS(Master!$D$2:$D$2000,"*"&amp;$A28,Master!$K$2:$K$2000,M$17)</f>
        <v>18</v>
      </c>
      <c r="N28" s="9" t="n">
        <f aca="false">COUNTIFS(Master!$D$2:$D$2000,"*"&amp;$A28,Master!$G$2:$G$2000,N$17)</f>
        <v>1</v>
      </c>
      <c r="O28" s="9" t="n">
        <f aca="false">COUNTIFS(Master!$D$2:$D$2000,"*"&amp;$A28,Master!$G$2:$G$2000,O$17)</f>
        <v>0</v>
      </c>
      <c r="P28" s="9" t="n">
        <f aca="false">COUNTIFS(Master!$D$2:$D$2000,"*"&amp;$A28,Master!$G$2:$G$2000,P$17)</f>
        <v>18</v>
      </c>
      <c r="Q28" s="10" t="n">
        <f aca="false">IF(C28=0,0,1-M28/C28)</f>
        <v>0.0526315789473685</v>
      </c>
    </row>
    <row r="29" customFormat="false" ht="15" hidden="false" customHeight="true" outlineLevel="0" collapsed="false">
      <c r="A29" s="9" t="s">
        <v>52</v>
      </c>
      <c r="B29" s="9" t="s">
        <v>35</v>
      </c>
      <c r="C29" s="9" t="n">
        <f aca="false">COUNTIF(Master!$D$2:$D$2000,"*"&amp;$A29)</f>
        <v>17</v>
      </c>
      <c r="D29" s="9" t="n">
        <f aca="false">COUNTIFS(Master!$D$2:$D$2000,"*"&amp;$A29,Master!$H$2:$H$2000,D$17)</f>
        <v>0</v>
      </c>
      <c r="E29" s="9" t="n">
        <f aca="false">COUNTIFS(Master!$D$2:$D$2000,"*"&amp;$A29,Master!$H$2:$H$2000,E$17)</f>
        <v>0</v>
      </c>
      <c r="F29" s="9" t="n">
        <f aca="false">COUNTIFS(Master!$D$2:$D$2000,"*"&amp;$A29,Master!$H$2:$H$2000,F$17)</f>
        <v>0</v>
      </c>
      <c r="G29" s="9" t="n">
        <f aca="false">COUNTIFS(Master!$D$2:$D$2000,"*"&amp;$A29,Master!$H$2:$H$2000,G$17)</f>
        <v>17</v>
      </c>
      <c r="H29" s="9" t="n">
        <f aca="false">COUNTIFS(Master!$D$2:$D$2000,"*"&amp;$A29,Master!$H$2:$H$2000,H$17)</f>
        <v>0</v>
      </c>
      <c r="I29" s="9" t="n">
        <f aca="false">COUNTIFS(Master!$D$2:$D$2000,"*"&amp;$A29,Master!$K$2:$K$2000,I$17)</f>
        <v>0</v>
      </c>
      <c r="J29" s="9" t="n">
        <f aca="false">COUNTIFS(Master!$D$2:$D$2000,"*"&amp;$A29,Master!$K$2:$K$2000,J$17)</f>
        <v>0</v>
      </c>
      <c r="K29" s="9" t="n">
        <f aca="false">COUNTIFS(Master!$D$2:$D$2000,"*"&amp;$A29,Master!$K$2:$K$2000,K$17)</f>
        <v>0</v>
      </c>
      <c r="L29" s="9" t="n">
        <f aca="false">COUNTIFS(Master!$D$2:$D$2000,"*"&amp;$A29,Master!$K$2:$K$2000,L$17)</f>
        <v>0</v>
      </c>
      <c r="M29" s="9" t="n">
        <f aca="false">COUNTIFS(Master!$D$2:$D$2000,"*"&amp;$A29,Master!$K$2:$K$2000,M$17)</f>
        <v>17</v>
      </c>
      <c r="N29" s="9" t="n">
        <f aca="false">COUNTIFS(Master!$D$2:$D$2000,"*"&amp;$A29,Master!$G$2:$G$2000,N$17)</f>
        <v>0</v>
      </c>
      <c r="O29" s="9" t="n">
        <f aca="false">COUNTIFS(Master!$D$2:$D$2000,"*"&amp;$A29,Master!$G$2:$G$2000,O$17)</f>
        <v>0</v>
      </c>
      <c r="P29" s="9" t="n">
        <f aca="false">COUNTIFS(Master!$D$2:$D$2000,"*"&amp;$A29,Master!$G$2:$G$2000,P$17)</f>
        <v>17</v>
      </c>
      <c r="Q29" s="10" t="n">
        <f aca="false">IF(C29=0,0,1-M29/C29)</f>
        <v>0</v>
      </c>
    </row>
    <row r="30" customFormat="false" ht="15" hidden="false" customHeight="true" outlineLevel="0" collapsed="false">
      <c r="A30" s="9" t="s">
        <v>53</v>
      </c>
      <c r="B30" s="9" t="s">
        <v>35</v>
      </c>
      <c r="C30" s="9" t="n">
        <f aca="false">COUNTIF(Master!$D$2:$D$2000,"*"&amp;$A30)</f>
        <v>13</v>
      </c>
      <c r="D30" s="9" t="n">
        <f aca="false">COUNTIFS(Master!$D$2:$D$2000,"*"&amp;$A30,Master!$H$2:$H$2000,D$17)</f>
        <v>0</v>
      </c>
      <c r="E30" s="9" t="n">
        <f aca="false">COUNTIFS(Master!$D$2:$D$2000,"*"&amp;$A30,Master!$H$2:$H$2000,E$17)</f>
        <v>0</v>
      </c>
      <c r="F30" s="9" t="n">
        <f aca="false">COUNTIFS(Master!$D$2:$D$2000,"*"&amp;$A30,Master!$H$2:$H$2000,F$17)</f>
        <v>0</v>
      </c>
      <c r="G30" s="9" t="n">
        <f aca="false">COUNTIFS(Master!$D$2:$D$2000,"*"&amp;$A30,Master!$H$2:$H$2000,G$17)</f>
        <v>13</v>
      </c>
      <c r="H30" s="9" t="n">
        <f aca="false">COUNTIFS(Master!$D$2:$D$2000,"*"&amp;$A30,Master!$H$2:$H$2000,H$17)</f>
        <v>0</v>
      </c>
      <c r="I30" s="9" t="n">
        <f aca="false">COUNTIFS(Master!$D$2:$D$2000,"*"&amp;$A30,Master!$K$2:$K$2000,I$17)</f>
        <v>0</v>
      </c>
      <c r="J30" s="9" t="n">
        <f aca="false">COUNTIFS(Master!$D$2:$D$2000,"*"&amp;$A30,Master!$K$2:$K$2000,J$17)</f>
        <v>0</v>
      </c>
      <c r="K30" s="9" t="n">
        <f aca="false">COUNTIFS(Master!$D$2:$D$2000,"*"&amp;$A30,Master!$K$2:$K$2000,K$17)</f>
        <v>0</v>
      </c>
      <c r="L30" s="9" t="n">
        <f aca="false">COUNTIFS(Master!$D$2:$D$2000,"*"&amp;$A30,Master!$K$2:$K$2000,L$17)</f>
        <v>0</v>
      </c>
      <c r="M30" s="9" t="n">
        <f aca="false">COUNTIFS(Master!$D$2:$D$2000,"*"&amp;$A30,Master!$K$2:$K$2000,M$17)</f>
        <v>13</v>
      </c>
      <c r="N30" s="9" t="n">
        <f aca="false">COUNTIFS(Master!$D$2:$D$2000,"*"&amp;$A30,Master!$G$2:$G$2000,N$17)</f>
        <v>0</v>
      </c>
      <c r="O30" s="9" t="n">
        <f aca="false">COUNTIFS(Master!$D$2:$D$2000,"*"&amp;$A30,Master!$G$2:$G$2000,O$17)</f>
        <v>0</v>
      </c>
      <c r="P30" s="9" t="n">
        <f aca="false">COUNTIFS(Master!$D$2:$D$2000,"*"&amp;$A30,Master!$G$2:$G$2000,P$17)</f>
        <v>13</v>
      </c>
      <c r="Q30" s="10" t="n">
        <f aca="false">IF(C30=0,0,1-M30/C30)</f>
        <v>0</v>
      </c>
    </row>
    <row r="31" customFormat="false" ht="15" hidden="false" customHeight="true" outlineLevel="0" collapsed="false">
      <c r="A31" s="9" t="s">
        <v>54</v>
      </c>
      <c r="B31" s="9" t="s">
        <v>35</v>
      </c>
      <c r="C31" s="9" t="n">
        <f aca="false">COUNTIF(Master!$D$2:$D$2000,"*"&amp;$A31)</f>
        <v>11</v>
      </c>
      <c r="D31" s="9" t="n">
        <f aca="false">COUNTIFS(Master!$D$2:$D$2000,"*"&amp;$A31,Master!$H$2:$H$2000,D$17)</f>
        <v>0</v>
      </c>
      <c r="E31" s="9" t="n">
        <f aca="false">COUNTIFS(Master!$D$2:$D$2000,"*"&amp;$A31,Master!$H$2:$H$2000,E$17)</f>
        <v>0</v>
      </c>
      <c r="F31" s="9" t="n">
        <f aca="false">COUNTIFS(Master!$D$2:$D$2000,"*"&amp;$A31,Master!$H$2:$H$2000,F$17)</f>
        <v>0</v>
      </c>
      <c r="G31" s="9" t="n">
        <f aca="false">COUNTIFS(Master!$D$2:$D$2000,"*"&amp;$A31,Master!$H$2:$H$2000,G$17)</f>
        <v>11</v>
      </c>
      <c r="H31" s="9" t="n">
        <f aca="false">COUNTIFS(Master!$D$2:$D$2000,"*"&amp;$A31,Master!$H$2:$H$2000,H$17)</f>
        <v>0</v>
      </c>
      <c r="I31" s="9" t="n">
        <f aca="false">COUNTIFS(Master!$D$2:$D$2000,"*"&amp;$A31,Master!$K$2:$K$2000,I$17)</f>
        <v>0</v>
      </c>
      <c r="J31" s="9" t="n">
        <f aca="false">COUNTIFS(Master!$D$2:$D$2000,"*"&amp;$A31,Master!$K$2:$K$2000,J$17)</f>
        <v>0</v>
      </c>
      <c r="K31" s="9" t="n">
        <f aca="false">COUNTIFS(Master!$D$2:$D$2000,"*"&amp;$A31,Master!$K$2:$K$2000,K$17)</f>
        <v>0</v>
      </c>
      <c r="L31" s="9" t="n">
        <f aca="false">COUNTIFS(Master!$D$2:$D$2000,"*"&amp;$A31,Master!$K$2:$K$2000,L$17)</f>
        <v>0</v>
      </c>
      <c r="M31" s="9" t="n">
        <f aca="false">COUNTIFS(Master!$D$2:$D$2000,"*"&amp;$A31,Master!$K$2:$K$2000,M$17)</f>
        <v>11</v>
      </c>
      <c r="N31" s="9" t="n">
        <f aca="false">COUNTIFS(Master!$D$2:$D$2000,"*"&amp;$A31,Master!$G$2:$G$2000,N$17)</f>
        <v>0</v>
      </c>
      <c r="O31" s="9" t="n">
        <f aca="false">COUNTIFS(Master!$D$2:$D$2000,"*"&amp;$A31,Master!$G$2:$G$2000,O$17)</f>
        <v>0</v>
      </c>
      <c r="P31" s="9" t="n">
        <f aca="false">COUNTIFS(Master!$D$2:$D$2000,"*"&amp;$A31,Master!$G$2:$G$2000,P$17)</f>
        <v>11</v>
      </c>
      <c r="Q31" s="10" t="n">
        <f aca="false">IF(C31=0,0,1-M31/C31)</f>
        <v>0</v>
      </c>
    </row>
    <row r="32" customFormat="false" ht="15" hidden="false" customHeight="true" outlineLevel="0" collapsed="false">
      <c r="A32" s="9" t="s">
        <v>55</v>
      </c>
      <c r="B32" s="9" t="s">
        <v>35</v>
      </c>
      <c r="C32" s="9" t="n">
        <f aca="false">COUNTIF(Master!$D$2:$D$2000,"*"&amp;$A32)</f>
        <v>10</v>
      </c>
      <c r="D32" s="9" t="n">
        <f aca="false">COUNTIFS(Master!$D$2:$D$2000,"*"&amp;$A32,Master!$H$2:$H$2000,D$17)</f>
        <v>4</v>
      </c>
      <c r="E32" s="9" t="n">
        <f aca="false">COUNTIFS(Master!$D$2:$D$2000,"*"&amp;$A32,Master!$H$2:$H$2000,E$17)</f>
        <v>0</v>
      </c>
      <c r="F32" s="9" t="n">
        <f aca="false">COUNTIFS(Master!$D$2:$D$2000,"*"&amp;$A32,Master!$H$2:$H$2000,F$17)</f>
        <v>0</v>
      </c>
      <c r="G32" s="9" t="n">
        <f aca="false">COUNTIFS(Master!$D$2:$D$2000,"*"&amp;$A32,Master!$H$2:$H$2000,G$17)</f>
        <v>6</v>
      </c>
      <c r="H32" s="9" t="n">
        <f aca="false">COUNTIFS(Master!$D$2:$D$2000,"*"&amp;$A32,Master!$H$2:$H$2000,H$17)</f>
        <v>0</v>
      </c>
      <c r="I32" s="9" t="n">
        <f aca="false">COUNTIFS(Master!$D$2:$D$2000,"*"&amp;$A32,Master!$K$2:$K$2000,I$17)</f>
        <v>1</v>
      </c>
      <c r="J32" s="9" t="n">
        <f aca="false">COUNTIFS(Master!$D$2:$D$2000,"*"&amp;$A32,Master!$K$2:$K$2000,J$17)</f>
        <v>1</v>
      </c>
      <c r="K32" s="9" t="n">
        <f aca="false">COUNTIFS(Master!$D$2:$D$2000,"*"&amp;$A32,Master!$K$2:$K$2000,K$17)</f>
        <v>2</v>
      </c>
      <c r="L32" s="9" t="n">
        <f aca="false">COUNTIFS(Master!$D$2:$D$2000,"*"&amp;$A32,Master!$K$2:$K$2000,L$17)</f>
        <v>0</v>
      </c>
      <c r="M32" s="9" t="n">
        <f aca="false">COUNTIFS(Master!$D$2:$D$2000,"*"&amp;$A32,Master!$K$2:$K$2000,M$17)</f>
        <v>6</v>
      </c>
      <c r="N32" s="9" t="n">
        <f aca="false">COUNTIFS(Master!$D$2:$D$2000,"*"&amp;$A32,Master!$G$2:$G$2000,N$17)</f>
        <v>4</v>
      </c>
      <c r="O32" s="9" t="n">
        <f aca="false">COUNTIFS(Master!$D$2:$D$2000,"*"&amp;$A32,Master!$G$2:$G$2000,O$17)</f>
        <v>0</v>
      </c>
      <c r="P32" s="9" t="n">
        <f aca="false">COUNTIFS(Master!$D$2:$D$2000,"*"&amp;$A32,Master!$G$2:$G$2000,P$17)</f>
        <v>6</v>
      </c>
      <c r="Q32" s="10" t="n">
        <f aca="false">IF(C32=0,0,1-M32/C32)</f>
        <v>0.4</v>
      </c>
    </row>
    <row r="33" customFormat="false" ht="15" hidden="false" customHeight="true" outlineLevel="0" collapsed="false">
      <c r="A33" s="9" t="s">
        <v>56</v>
      </c>
      <c r="B33" s="9" t="s">
        <v>35</v>
      </c>
      <c r="C33" s="9" t="n">
        <f aca="false">COUNTIF(Master!$D$2:$D$2000,"*"&amp;$A33)</f>
        <v>2</v>
      </c>
      <c r="D33" s="9" t="n">
        <f aca="false">COUNTIFS(Master!$D$2:$D$2000,"*"&amp;$A33,Master!$H$2:$H$2000,D$17)</f>
        <v>0</v>
      </c>
      <c r="E33" s="9" t="n">
        <f aca="false">COUNTIFS(Master!$D$2:$D$2000,"*"&amp;$A33,Master!$H$2:$H$2000,E$17)</f>
        <v>0</v>
      </c>
      <c r="F33" s="9" t="n">
        <f aca="false">COUNTIFS(Master!$D$2:$D$2000,"*"&amp;$A33,Master!$H$2:$H$2000,F$17)</f>
        <v>0</v>
      </c>
      <c r="G33" s="9" t="n">
        <f aca="false">COUNTIFS(Master!$D$2:$D$2000,"*"&amp;$A33,Master!$H$2:$H$2000,G$17)</f>
        <v>2</v>
      </c>
      <c r="H33" s="9" t="n">
        <f aca="false">COUNTIFS(Master!$D$2:$D$2000,"*"&amp;$A33,Master!$H$2:$H$2000,H$17)</f>
        <v>0</v>
      </c>
      <c r="I33" s="9" t="n">
        <f aca="false">COUNTIFS(Master!$D$2:$D$2000,"*"&amp;$A33,Master!$K$2:$K$2000,I$17)</f>
        <v>0</v>
      </c>
      <c r="J33" s="9" t="n">
        <f aca="false">COUNTIFS(Master!$D$2:$D$2000,"*"&amp;$A33,Master!$K$2:$K$2000,J$17)</f>
        <v>0</v>
      </c>
      <c r="K33" s="9" t="n">
        <f aca="false">COUNTIFS(Master!$D$2:$D$2000,"*"&amp;$A33,Master!$K$2:$K$2000,K$17)</f>
        <v>0</v>
      </c>
      <c r="L33" s="9" t="n">
        <f aca="false">COUNTIFS(Master!$D$2:$D$2000,"*"&amp;$A33,Master!$K$2:$K$2000,L$17)</f>
        <v>0</v>
      </c>
      <c r="M33" s="9" t="n">
        <f aca="false">COUNTIFS(Master!$D$2:$D$2000,"*"&amp;$A33,Master!$K$2:$K$2000,M$17)</f>
        <v>2</v>
      </c>
      <c r="N33" s="9" t="n">
        <f aca="false">COUNTIFS(Master!$D$2:$D$2000,"*"&amp;$A33,Master!$G$2:$G$2000,N$17)</f>
        <v>0</v>
      </c>
      <c r="O33" s="9" t="n">
        <f aca="false">COUNTIFS(Master!$D$2:$D$2000,"*"&amp;$A33,Master!$G$2:$G$2000,O$17)</f>
        <v>0</v>
      </c>
      <c r="P33" s="9" t="n">
        <f aca="false">COUNTIFS(Master!$D$2:$D$2000,"*"&amp;$A33,Master!$G$2:$G$2000,P$17)</f>
        <v>2</v>
      </c>
      <c r="Q33" s="10" t="n">
        <f aca="false">IF(C33=0,0,1-M33/C33)</f>
        <v>0</v>
      </c>
    </row>
    <row r="34" customFormat="false" ht="15" hidden="false" customHeight="true" outlineLevel="0" collapsed="false">
      <c r="A34" s="9" t="s">
        <v>57</v>
      </c>
      <c r="B34" s="9" t="s">
        <v>35</v>
      </c>
      <c r="C34" s="9" t="n">
        <f aca="false">COUNTIF(Master!$D$2:$D$2000,"*"&amp;$A34)</f>
        <v>4</v>
      </c>
      <c r="D34" s="9" t="n">
        <f aca="false">COUNTIFS(Master!$D$2:$D$2000,"*"&amp;$A34,Master!$H$2:$H$2000,D$17)</f>
        <v>3</v>
      </c>
      <c r="E34" s="9" t="n">
        <f aca="false">COUNTIFS(Master!$D$2:$D$2000,"*"&amp;$A34,Master!$H$2:$H$2000,E$17)</f>
        <v>0</v>
      </c>
      <c r="F34" s="9" t="n">
        <f aca="false">COUNTIFS(Master!$D$2:$D$2000,"*"&amp;$A34,Master!$H$2:$H$2000,F$17)</f>
        <v>1</v>
      </c>
      <c r="G34" s="9" t="n">
        <f aca="false">COUNTIFS(Master!$D$2:$D$2000,"*"&amp;$A34,Master!$H$2:$H$2000,G$17)</f>
        <v>0</v>
      </c>
      <c r="H34" s="9" t="n">
        <f aca="false">COUNTIFS(Master!$D$2:$D$2000,"*"&amp;$A34,Master!$H$2:$H$2000,H$17)</f>
        <v>0</v>
      </c>
      <c r="I34" s="9" t="n">
        <f aca="false">COUNTIFS(Master!$D$2:$D$2000,"*"&amp;$A34,Master!$K$2:$K$2000,I$17)</f>
        <v>0</v>
      </c>
      <c r="J34" s="9" t="n">
        <f aca="false">COUNTIFS(Master!$D$2:$D$2000,"*"&amp;$A34,Master!$K$2:$K$2000,J$17)</f>
        <v>0</v>
      </c>
      <c r="K34" s="9" t="n">
        <f aca="false">COUNTIFS(Master!$D$2:$D$2000,"*"&amp;$A34,Master!$K$2:$K$2000,K$17)</f>
        <v>3</v>
      </c>
      <c r="L34" s="9" t="n">
        <f aca="false">COUNTIFS(Master!$D$2:$D$2000,"*"&amp;$A34,Master!$K$2:$K$2000,L$17)</f>
        <v>0</v>
      </c>
      <c r="M34" s="9" t="n">
        <f aca="false">COUNTIFS(Master!$D$2:$D$2000,"*"&amp;$A34,Master!$K$2:$K$2000,M$17)</f>
        <v>1</v>
      </c>
      <c r="N34" s="9" t="n">
        <f aca="false">COUNTIFS(Master!$D$2:$D$2000,"*"&amp;$A34,Master!$G$2:$G$2000,N$17)</f>
        <v>3</v>
      </c>
      <c r="O34" s="9" t="n">
        <f aca="false">COUNTIFS(Master!$D$2:$D$2000,"*"&amp;$A34,Master!$G$2:$G$2000,O$17)</f>
        <v>0</v>
      </c>
      <c r="P34" s="9" t="n">
        <f aca="false">COUNTIFS(Master!$D$2:$D$2000,"*"&amp;$A34,Master!$G$2:$G$2000,P$17)</f>
        <v>1</v>
      </c>
      <c r="Q34" s="10" t="n">
        <f aca="false">IF(C34=0,0,1-M34/C34)</f>
        <v>0.75</v>
      </c>
    </row>
    <row r="35" customFormat="false" ht="15" hidden="false" customHeight="true" outlineLevel="0" collapsed="false">
      <c r="A35" s="9" t="s">
        <v>58</v>
      </c>
      <c r="B35" s="9" t="s">
        <v>35</v>
      </c>
      <c r="C35" s="9" t="n">
        <f aca="false">COUNTIF(Master!$D$2:$D$2000,"*"&amp;$A35)</f>
        <v>1</v>
      </c>
      <c r="D35" s="9" t="n">
        <f aca="false">COUNTIFS(Master!$D$2:$D$2000,"*"&amp;$A35,Master!$H$2:$H$2000,D$17)</f>
        <v>0</v>
      </c>
      <c r="E35" s="9" t="n">
        <f aca="false">COUNTIFS(Master!$D$2:$D$2000,"*"&amp;$A35,Master!$H$2:$H$2000,E$17)</f>
        <v>0</v>
      </c>
      <c r="F35" s="9" t="n">
        <f aca="false">COUNTIFS(Master!$D$2:$D$2000,"*"&amp;$A35,Master!$H$2:$H$2000,F$17)</f>
        <v>0</v>
      </c>
      <c r="G35" s="9" t="n">
        <f aca="false">COUNTIFS(Master!$D$2:$D$2000,"*"&amp;$A35,Master!$H$2:$H$2000,G$17)</f>
        <v>1</v>
      </c>
      <c r="H35" s="9" t="n">
        <f aca="false">COUNTIFS(Master!$D$2:$D$2000,"*"&amp;$A35,Master!$H$2:$H$2000,H$17)</f>
        <v>0</v>
      </c>
      <c r="I35" s="9" t="n">
        <f aca="false">COUNTIFS(Master!$D$2:$D$2000,"*"&amp;$A35,Master!$K$2:$K$2000,I$17)</f>
        <v>0</v>
      </c>
      <c r="J35" s="9" t="n">
        <f aca="false">COUNTIFS(Master!$D$2:$D$2000,"*"&amp;$A35,Master!$K$2:$K$2000,J$17)</f>
        <v>0</v>
      </c>
      <c r="K35" s="9" t="n">
        <f aca="false">COUNTIFS(Master!$D$2:$D$2000,"*"&amp;$A35,Master!$K$2:$K$2000,K$17)</f>
        <v>0</v>
      </c>
      <c r="L35" s="9" t="n">
        <f aca="false">COUNTIFS(Master!$D$2:$D$2000,"*"&amp;$A35,Master!$K$2:$K$2000,L$17)</f>
        <v>0</v>
      </c>
      <c r="M35" s="9" t="n">
        <f aca="false">COUNTIFS(Master!$D$2:$D$2000,"*"&amp;$A35,Master!$K$2:$K$2000,M$17)</f>
        <v>1</v>
      </c>
      <c r="N35" s="9" t="n">
        <f aca="false">COUNTIFS(Master!$D$2:$D$2000,"*"&amp;$A35,Master!$G$2:$G$2000,N$17)</f>
        <v>0</v>
      </c>
      <c r="O35" s="9" t="n">
        <f aca="false">COUNTIFS(Master!$D$2:$D$2000,"*"&amp;$A35,Master!$G$2:$G$2000,O$17)</f>
        <v>0</v>
      </c>
      <c r="P35" s="9" t="n">
        <f aca="false">COUNTIFS(Master!$D$2:$D$2000,"*"&amp;$A35,Master!$G$2:$G$2000,P$17)</f>
        <v>1</v>
      </c>
      <c r="Q35" s="10" t="n">
        <f aca="false">IF(C35=0,0,1-M35/C35)</f>
        <v>0</v>
      </c>
    </row>
    <row r="36" customFormat="false" ht="15" hidden="false" customHeight="true" outlineLevel="0" collapsed="false">
      <c r="A36" s="9" t="s">
        <v>59</v>
      </c>
      <c r="B36" s="9" t="s">
        <v>35</v>
      </c>
      <c r="C36" s="9" t="n">
        <f aca="false">COUNTIF(Master!$D$2:$D$2000,"*"&amp;$A36)</f>
        <v>1</v>
      </c>
      <c r="D36" s="9" t="n">
        <f aca="false">COUNTIFS(Master!$D$2:$D$2000,"*"&amp;$A36,Master!$H$2:$H$2000,D$17)</f>
        <v>0</v>
      </c>
      <c r="E36" s="9" t="n">
        <f aca="false">COUNTIFS(Master!$D$2:$D$2000,"*"&amp;$A36,Master!$H$2:$H$2000,E$17)</f>
        <v>0</v>
      </c>
      <c r="F36" s="9" t="n">
        <f aca="false">COUNTIFS(Master!$D$2:$D$2000,"*"&amp;$A36,Master!$H$2:$H$2000,F$17)</f>
        <v>0</v>
      </c>
      <c r="G36" s="9" t="n">
        <f aca="false">COUNTIFS(Master!$D$2:$D$2000,"*"&amp;$A36,Master!$H$2:$H$2000,G$17)</f>
        <v>1</v>
      </c>
      <c r="H36" s="9" t="n">
        <f aca="false">COUNTIFS(Master!$D$2:$D$2000,"*"&amp;$A36,Master!$H$2:$H$2000,H$17)</f>
        <v>0</v>
      </c>
      <c r="I36" s="9" t="n">
        <f aca="false">COUNTIFS(Master!$D$2:$D$2000,"*"&amp;$A36,Master!$K$2:$K$2000,I$17)</f>
        <v>0</v>
      </c>
      <c r="J36" s="9" t="n">
        <f aca="false">COUNTIFS(Master!$D$2:$D$2000,"*"&amp;$A36,Master!$K$2:$K$2000,J$17)</f>
        <v>0</v>
      </c>
      <c r="K36" s="9" t="n">
        <f aca="false">COUNTIFS(Master!$D$2:$D$2000,"*"&amp;$A36,Master!$K$2:$K$2000,K$17)</f>
        <v>0</v>
      </c>
      <c r="L36" s="9" t="n">
        <f aca="false">COUNTIFS(Master!$D$2:$D$2000,"*"&amp;$A36,Master!$K$2:$K$2000,L$17)</f>
        <v>0</v>
      </c>
      <c r="M36" s="9" t="n">
        <f aca="false">COUNTIFS(Master!$D$2:$D$2000,"*"&amp;$A36,Master!$K$2:$K$2000,M$17)</f>
        <v>1</v>
      </c>
      <c r="N36" s="9" t="n">
        <f aca="false">COUNTIFS(Master!$D$2:$D$2000,"*"&amp;$A36,Master!$G$2:$G$2000,N$17)</f>
        <v>0</v>
      </c>
      <c r="O36" s="9" t="n">
        <f aca="false">COUNTIFS(Master!$D$2:$D$2000,"*"&amp;$A36,Master!$G$2:$G$2000,O$17)</f>
        <v>0</v>
      </c>
      <c r="P36" s="9" t="n">
        <f aca="false">COUNTIFS(Master!$D$2:$D$2000,"*"&amp;$A36,Master!$G$2:$G$2000,P$17)</f>
        <v>1</v>
      </c>
      <c r="Q36" s="10" t="n">
        <f aca="false">IF(C36=0,0,1-M36/C36)</f>
        <v>0</v>
      </c>
    </row>
    <row r="37" customFormat="false" ht="15" hidden="false" customHeight="true" outlineLevel="0" collapsed="false">
      <c r="A37" s="9" t="s">
        <v>60</v>
      </c>
      <c r="B37" s="9" t="s">
        <v>36</v>
      </c>
      <c r="C37" s="9" t="n">
        <f aca="false">COUNTIF(Master!$D$2:$D$2000,"*"&amp;$A37)</f>
        <v>5</v>
      </c>
      <c r="D37" s="9" t="n">
        <f aca="false">COUNTIFS(Master!$D$2:$D$2000,"*"&amp;$A37,Master!$H$2:$H$2000,D$17)</f>
        <v>1</v>
      </c>
      <c r="E37" s="9" t="n">
        <f aca="false">COUNTIFS(Master!$D$2:$D$2000,"*"&amp;$A37,Master!$H$2:$H$2000,E$17)</f>
        <v>0</v>
      </c>
      <c r="F37" s="9" t="n">
        <f aca="false">COUNTIFS(Master!$D$2:$D$2000,"*"&amp;$A37,Master!$H$2:$H$2000,F$17)</f>
        <v>0</v>
      </c>
      <c r="G37" s="9" t="n">
        <f aca="false">COUNTIFS(Master!$D$2:$D$2000,"*"&amp;$A37,Master!$H$2:$H$2000,G$17)</f>
        <v>4</v>
      </c>
      <c r="H37" s="9" t="n">
        <f aca="false">COUNTIFS(Master!$D$2:$D$2000,"*"&amp;$A37,Master!$H$2:$H$2000,H$17)</f>
        <v>0</v>
      </c>
      <c r="I37" s="9" t="n">
        <f aca="false">COUNTIFS(Master!$D$2:$D$2000,"*"&amp;$A37,Master!$K$2:$K$2000,I$17)</f>
        <v>0</v>
      </c>
      <c r="J37" s="9" t="n">
        <f aca="false">COUNTIFS(Master!$D$2:$D$2000,"*"&amp;$A37,Master!$K$2:$K$2000,J$17)</f>
        <v>0</v>
      </c>
      <c r="K37" s="9" t="n">
        <f aca="false">COUNTIFS(Master!$D$2:$D$2000,"*"&amp;$A37,Master!$K$2:$K$2000,K$17)</f>
        <v>1</v>
      </c>
      <c r="L37" s="9" t="n">
        <f aca="false">COUNTIFS(Master!$D$2:$D$2000,"*"&amp;$A37,Master!$K$2:$K$2000,L$17)</f>
        <v>0</v>
      </c>
      <c r="M37" s="9" t="n">
        <f aca="false">COUNTIFS(Master!$D$2:$D$2000,"*"&amp;$A37,Master!$K$2:$K$2000,M$17)</f>
        <v>4</v>
      </c>
      <c r="N37" s="9" t="n">
        <f aca="false">COUNTIFS(Master!$D$2:$D$2000,"*"&amp;$A37,Master!$G$2:$G$2000,N$17)</f>
        <v>0</v>
      </c>
      <c r="O37" s="9" t="n">
        <f aca="false">COUNTIFS(Master!$D$2:$D$2000,"*"&amp;$A37,Master!$G$2:$G$2000,O$17)</f>
        <v>1</v>
      </c>
      <c r="P37" s="9" t="n">
        <f aca="false">COUNTIFS(Master!$D$2:$D$2000,"*"&amp;$A37,Master!$G$2:$G$2000,P$17)</f>
        <v>4</v>
      </c>
      <c r="Q37" s="10" t="n">
        <f aca="false">IF(C37=0,0,1-M37/C37)</f>
        <v>0.2</v>
      </c>
    </row>
    <row r="38" customFormat="false" ht="15" hidden="false" customHeight="true" outlineLevel="0" collapsed="false">
      <c r="A38" s="9" t="s">
        <v>61</v>
      </c>
      <c r="B38" s="9" t="s">
        <v>36</v>
      </c>
      <c r="C38" s="9" t="n">
        <f aca="false">COUNTIF(Master!$D$2:$D$2000,"*"&amp;$A38)</f>
        <v>3</v>
      </c>
      <c r="D38" s="9" t="n">
        <f aca="false">COUNTIFS(Master!$D$2:$D$2000,"*"&amp;$A38,Master!$H$2:$H$2000,D$17)</f>
        <v>0</v>
      </c>
      <c r="E38" s="9" t="n">
        <f aca="false">COUNTIFS(Master!$D$2:$D$2000,"*"&amp;$A38,Master!$H$2:$H$2000,E$17)</f>
        <v>0</v>
      </c>
      <c r="F38" s="9" t="n">
        <f aca="false">COUNTIFS(Master!$D$2:$D$2000,"*"&amp;$A38,Master!$H$2:$H$2000,F$17)</f>
        <v>0</v>
      </c>
      <c r="G38" s="9" t="n">
        <f aca="false">COUNTIFS(Master!$D$2:$D$2000,"*"&amp;$A38,Master!$H$2:$H$2000,G$17)</f>
        <v>3</v>
      </c>
      <c r="H38" s="9" t="n">
        <f aca="false">COUNTIFS(Master!$D$2:$D$2000,"*"&amp;$A38,Master!$H$2:$H$2000,H$17)</f>
        <v>0</v>
      </c>
      <c r="I38" s="9" t="n">
        <f aca="false">COUNTIFS(Master!$D$2:$D$2000,"*"&amp;$A38,Master!$K$2:$K$2000,I$17)</f>
        <v>0</v>
      </c>
      <c r="J38" s="9" t="n">
        <f aca="false">COUNTIFS(Master!$D$2:$D$2000,"*"&amp;$A38,Master!$K$2:$K$2000,J$17)</f>
        <v>0</v>
      </c>
      <c r="K38" s="9" t="n">
        <f aca="false">COUNTIFS(Master!$D$2:$D$2000,"*"&amp;$A38,Master!$K$2:$K$2000,K$17)</f>
        <v>0</v>
      </c>
      <c r="L38" s="9" t="n">
        <f aca="false">COUNTIFS(Master!$D$2:$D$2000,"*"&amp;$A38,Master!$K$2:$K$2000,L$17)</f>
        <v>0</v>
      </c>
      <c r="M38" s="9" t="n">
        <f aca="false">COUNTIFS(Master!$D$2:$D$2000,"*"&amp;$A38,Master!$K$2:$K$2000,M$17)</f>
        <v>3</v>
      </c>
      <c r="N38" s="9" t="n">
        <f aca="false">COUNTIFS(Master!$D$2:$D$2000,"*"&amp;$A38,Master!$G$2:$G$2000,N$17)</f>
        <v>0</v>
      </c>
      <c r="O38" s="9" t="n">
        <f aca="false">COUNTIFS(Master!$D$2:$D$2000,"*"&amp;$A38,Master!$G$2:$G$2000,O$17)</f>
        <v>0</v>
      </c>
      <c r="P38" s="9" t="n">
        <f aca="false">COUNTIFS(Master!$D$2:$D$2000,"*"&amp;$A38,Master!$G$2:$G$2000,P$17)</f>
        <v>3</v>
      </c>
      <c r="Q38" s="10" t="n">
        <f aca="false">IF(C38=0,0,1-M38/C38)</f>
        <v>0</v>
      </c>
    </row>
    <row r="39" customFormat="false" ht="15" hidden="false" customHeight="true" outlineLevel="0" collapsed="false">
      <c r="A39" s="9" t="s">
        <v>62</v>
      </c>
      <c r="B39" s="9" t="s">
        <v>36</v>
      </c>
      <c r="C39" s="9" t="n">
        <f aca="false">COUNTIF(Master!$D$2:$D$2000,"*"&amp;$A39)</f>
        <v>2</v>
      </c>
      <c r="D39" s="9" t="n">
        <f aca="false">COUNTIFS(Master!$D$2:$D$2000,"*"&amp;$A39,Master!$H$2:$H$2000,D$17)</f>
        <v>0</v>
      </c>
      <c r="E39" s="9" t="n">
        <f aca="false">COUNTIFS(Master!$D$2:$D$2000,"*"&amp;$A39,Master!$H$2:$H$2000,E$17)</f>
        <v>0</v>
      </c>
      <c r="F39" s="9" t="n">
        <f aca="false">COUNTIFS(Master!$D$2:$D$2000,"*"&amp;$A39,Master!$H$2:$H$2000,F$17)</f>
        <v>0</v>
      </c>
      <c r="G39" s="9" t="n">
        <f aca="false">COUNTIFS(Master!$D$2:$D$2000,"*"&amp;$A39,Master!$H$2:$H$2000,G$17)</f>
        <v>2</v>
      </c>
      <c r="H39" s="9" t="n">
        <f aca="false">COUNTIFS(Master!$D$2:$D$2000,"*"&amp;$A39,Master!$H$2:$H$2000,H$17)</f>
        <v>0</v>
      </c>
      <c r="I39" s="9" t="n">
        <f aca="false">COUNTIFS(Master!$D$2:$D$2000,"*"&amp;$A39,Master!$K$2:$K$2000,I$17)</f>
        <v>0</v>
      </c>
      <c r="J39" s="9" t="n">
        <f aca="false">COUNTIFS(Master!$D$2:$D$2000,"*"&amp;$A39,Master!$K$2:$K$2000,J$17)</f>
        <v>0</v>
      </c>
      <c r="K39" s="9" t="n">
        <f aca="false">COUNTIFS(Master!$D$2:$D$2000,"*"&amp;$A39,Master!$K$2:$K$2000,K$17)</f>
        <v>0</v>
      </c>
      <c r="L39" s="9" t="n">
        <f aca="false">COUNTIFS(Master!$D$2:$D$2000,"*"&amp;$A39,Master!$K$2:$K$2000,L$17)</f>
        <v>0</v>
      </c>
      <c r="M39" s="9" t="n">
        <f aca="false">COUNTIFS(Master!$D$2:$D$2000,"*"&amp;$A39,Master!$K$2:$K$2000,M$17)</f>
        <v>2</v>
      </c>
      <c r="N39" s="9" t="n">
        <f aca="false">COUNTIFS(Master!$D$2:$D$2000,"*"&amp;$A39,Master!$G$2:$G$2000,N$17)</f>
        <v>0</v>
      </c>
      <c r="O39" s="9" t="n">
        <f aca="false">COUNTIFS(Master!$D$2:$D$2000,"*"&amp;$A39,Master!$G$2:$G$2000,O$17)</f>
        <v>0</v>
      </c>
      <c r="P39" s="9" t="n">
        <f aca="false">COUNTIFS(Master!$D$2:$D$2000,"*"&amp;$A39,Master!$G$2:$G$2000,P$17)</f>
        <v>2</v>
      </c>
      <c r="Q39" s="10" t="n">
        <f aca="false">IF(C39=0,0,1-M39/C39)</f>
        <v>0</v>
      </c>
    </row>
    <row r="40" customFormat="false" ht="15" hidden="false" customHeight="true" outlineLevel="0" collapsed="false">
      <c r="A40" s="9" t="s">
        <v>63</v>
      </c>
      <c r="B40" s="9" t="s">
        <v>36</v>
      </c>
      <c r="C40" s="9" t="n">
        <f aca="false">COUNTIF(Master!$D$2:$D$2000,"*"&amp;$A40)</f>
        <v>1</v>
      </c>
      <c r="D40" s="9" t="n">
        <f aca="false">COUNTIFS(Master!$D$2:$D$2000,"*"&amp;$A40,Master!$H$2:$H$2000,D$17)</f>
        <v>1</v>
      </c>
      <c r="E40" s="9" t="n">
        <f aca="false">COUNTIFS(Master!$D$2:$D$2000,"*"&amp;$A40,Master!$H$2:$H$2000,E$17)</f>
        <v>0</v>
      </c>
      <c r="F40" s="9" t="n">
        <f aca="false">COUNTIFS(Master!$D$2:$D$2000,"*"&amp;$A40,Master!$H$2:$H$2000,F$17)</f>
        <v>0</v>
      </c>
      <c r="G40" s="9" t="n">
        <f aca="false">COUNTIFS(Master!$D$2:$D$2000,"*"&amp;$A40,Master!$H$2:$H$2000,G$17)</f>
        <v>0</v>
      </c>
      <c r="H40" s="9" t="n">
        <f aca="false">COUNTIFS(Master!$D$2:$D$2000,"*"&amp;$A40,Master!$H$2:$H$2000,H$17)</f>
        <v>0</v>
      </c>
      <c r="I40" s="9" t="n">
        <f aca="false">COUNTIFS(Master!$D$2:$D$2000,"*"&amp;$A40,Master!$K$2:$K$2000,I$17)</f>
        <v>0</v>
      </c>
      <c r="J40" s="9" t="n">
        <f aca="false">COUNTIFS(Master!$D$2:$D$2000,"*"&amp;$A40,Master!$K$2:$K$2000,J$17)</f>
        <v>1</v>
      </c>
      <c r="K40" s="9" t="n">
        <f aca="false">COUNTIFS(Master!$D$2:$D$2000,"*"&amp;$A40,Master!$K$2:$K$2000,K$17)</f>
        <v>0</v>
      </c>
      <c r="L40" s="9" t="n">
        <f aca="false">COUNTIFS(Master!$D$2:$D$2000,"*"&amp;$A40,Master!$K$2:$K$2000,L$17)</f>
        <v>0</v>
      </c>
      <c r="M40" s="9" t="n">
        <f aca="false">COUNTIFS(Master!$D$2:$D$2000,"*"&amp;$A40,Master!$K$2:$K$2000,M$17)</f>
        <v>0</v>
      </c>
      <c r="N40" s="9" t="n">
        <f aca="false">COUNTIFS(Master!$D$2:$D$2000,"*"&amp;$A40,Master!$G$2:$G$2000,N$17)</f>
        <v>1</v>
      </c>
      <c r="O40" s="9" t="n">
        <f aca="false">COUNTIFS(Master!$D$2:$D$2000,"*"&amp;$A40,Master!$G$2:$G$2000,O$17)</f>
        <v>0</v>
      </c>
      <c r="P40" s="9" t="n">
        <f aca="false">COUNTIFS(Master!$D$2:$D$2000,"*"&amp;$A40,Master!$G$2:$G$2000,P$17)</f>
        <v>0</v>
      </c>
      <c r="Q40" s="10" t="n">
        <f aca="false">IF(C40=0,0,1-M40/C40)</f>
        <v>1</v>
      </c>
    </row>
    <row r="41" customFormat="false" ht="15" hidden="false" customHeight="true" outlineLevel="0" collapsed="false">
      <c r="A41" s="9" t="s">
        <v>64</v>
      </c>
      <c r="B41" s="9" t="s">
        <v>36</v>
      </c>
      <c r="C41" s="9" t="n">
        <f aca="false">COUNTIF(Master!$D$2:$D$2000,"*"&amp;$A41)</f>
        <v>3</v>
      </c>
      <c r="D41" s="9" t="n">
        <f aca="false">COUNTIFS(Master!$D$2:$D$2000,"*"&amp;$A41,Master!$H$2:$H$2000,D$17)</f>
        <v>3</v>
      </c>
      <c r="E41" s="9" t="n">
        <f aca="false">COUNTIFS(Master!$D$2:$D$2000,"*"&amp;$A41,Master!$H$2:$H$2000,E$17)</f>
        <v>0</v>
      </c>
      <c r="F41" s="9" t="n">
        <f aca="false">COUNTIFS(Master!$D$2:$D$2000,"*"&amp;$A41,Master!$H$2:$H$2000,F$17)</f>
        <v>0</v>
      </c>
      <c r="G41" s="9" t="n">
        <f aca="false">COUNTIFS(Master!$D$2:$D$2000,"*"&amp;$A41,Master!$H$2:$H$2000,G$17)</f>
        <v>0</v>
      </c>
      <c r="H41" s="9" t="n">
        <f aca="false">COUNTIFS(Master!$D$2:$D$2000,"*"&amp;$A41,Master!$H$2:$H$2000,H$17)</f>
        <v>0</v>
      </c>
      <c r="I41" s="9" t="n">
        <f aca="false">COUNTIFS(Master!$D$2:$D$2000,"*"&amp;$A41,Master!$K$2:$K$2000,I$17)</f>
        <v>0</v>
      </c>
      <c r="J41" s="9" t="n">
        <f aca="false">COUNTIFS(Master!$D$2:$D$2000,"*"&amp;$A41,Master!$K$2:$K$2000,J$17)</f>
        <v>0</v>
      </c>
      <c r="K41" s="9" t="n">
        <f aca="false">COUNTIFS(Master!$D$2:$D$2000,"*"&amp;$A41,Master!$K$2:$K$2000,K$17)</f>
        <v>3</v>
      </c>
      <c r="L41" s="9" t="n">
        <f aca="false">COUNTIFS(Master!$D$2:$D$2000,"*"&amp;$A41,Master!$K$2:$K$2000,L$17)</f>
        <v>0</v>
      </c>
      <c r="M41" s="9" t="n">
        <f aca="false">COUNTIFS(Master!$D$2:$D$2000,"*"&amp;$A41,Master!$K$2:$K$2000,M$17)</f>
        <v>0</v>
      </c>
      <c r="N41" s="9" t="n">
        <f aca="false">COUNTIFS(Master!$D$2:$D$2000,"*"&amp;$A41,Master!$G$2:$G$2000,N$17)</f>
        <v>0</v>
      </c>
      <c r="O41" s="9" t="n">
        <f aca="false">COUNTIFS(Master!$D$2:$D$2000,"*"&amp;$A41,Master!$G$2:$G$2000,O$17)</f>
        <v>3</v>
      </c>
      <c r="P41" s="9" t="n">
        <f aca="false">COUNTIFS(Master!$D$2:$D$2000,"*"&amp;$A41,Master!$G$2:$G$2000,P$17)</f>
        <v>0</v>
      </c>
      <c r="Q41" s="10" t="n">
        <f aca="false">IF(C41=0,0,1-M41/C41)</f>
        <v>1</v>
      </c>
    </row>
    <row r="42" customFormat="false" ht="15" hidden="false" customHeight="true" outlineLevel="0" collapsed="false">
      <c r="A42" s="9" t="s">
        <v>65</v>
      </c>
      <c r="B42" s="9" t="s">
        <v>36</v>
      </c>
      <c r="C42" s="9" t="n">
        <f aca="false">COUNTA(Master!$D$2:$D$2000)-SUM(C18:C41)</f>
        <v>4</v>
      </c>
      <c r="D42" s="9" t="n">
        <f aca="false">COUNTIF(Master!$H$2:$H$2000,D$17)-SUM(D18:D41)</f>
        <v>2</v>
      </c>
      <c r="E42" s="9" t="n">
        <f aca="false">COUNTIF(Master!$H$2:$H$2000,E$17)-SUM(E18:E41)</f>
        <v>0</v>
      </c>
      <c r="F42" s="9" t="n">
        <f aca="false">COUNTIF(Master!$H$2:$H$2000,F$17)-SUM(F18:F41)</f>
        <v>0</v>
      </c>
      <c r="G42" s="9" t="n">
        <f aca="false">COUNTIF(Master!$H$2:$H$2000,G$17)-SUM(G18:G41)</f>
        <v>1</v>
      </c>
      <c r="H42" s="9" t="n">
        <f aca="false">COUNTIF(Master!$H$2:$H$2000,H$17)-SUM(H18:H41)</f>
        <v>1</v>
      </c>
      <c r="I42" s="9" t="n">
        <f aca="false">COUNTIF(Master!$K$2:$K$2000,I$17)-SUM(I18:I41)</f>
        <v>1</v>
      </c>
      <c r="J42" s="9" t="n">
        <f aca="false">COUNTIF(Master!$K$2:$K$2000,J$17)-SUM(J18:J41)</f>
        <v>1</v>
      </c>
      <c r="K42" s="9" t="n">
        <f aca="false">COUNTIF(Master!$K$2:$K$2000,K$17)-SUM(K18:K41)</f>
        <v>1</v>
      </c>
      <c r="L42" s="9" t="n">
        <f aca="false">COUNTIF(Master!$K$2:$K$2000,L$17)-SUM(L18:L41)</f>
        <v>0</v>
      </c>
      <c r="M42" s="9" t="n">
        <f aca="false">COUNTIF(Master!$K$2:$K$2000,M$17)-SUM(M18:M41)</f>
        <v>1</v>
      </c>
      <c r="N42" s="9" t="n">
        <f aca="false">COUNTIF(Master!$G$2:$G$2000,N$17)-SUM(N18:N41)</f>
        <v>3</v>
      </c>
      <c r="O42" s="9" t="n">
        <f aca="false">COUNTIF(Master!$G$2:$G$2000,O$17)-SUM(O18:O41)</f>
        <v>0</v>
      </c>
      <c r="P42" s="9" t="n">
        <f aca="false">COUNTIF(Master!$G$2:$G$2000,P$17)-SUM(P18:P41)</f>
        <v>1</v>
      </c>
      <c r="Q42" s="10" t="n">
        <f aca="false">IF(C42=0,0,1-M42/C42)</f>
        <v>0.75</v>
      </c>
    </row>
    <row r="43" customFormat="false" ht="15" hidden="false" customHeight="true" outlineLevel="0" collapsed="false">
      <c r="A43" s="11" t="s">
        <v>7</v>
      </c>
      <c r="B43" s="13"/>
      <c r="C43" s="11" t="n">
        <f aca="false">SUM(C18:C42)</f>
        <v>464</v>
      </c>
      <c r="D43" s="11" t="n">
        <f aca="false">SUM(D18:D42)</f>
        <v>196</v>
      </c>
      <c r="E43" s="11" t="n">
        <f aca="false">SUM(E18:E42)</f>
        <v>22</v>
      </c>
      <c r="F43" s="11" t="n">
        <f aca="false">SUM(F18:F42)</f>
        <v>132</v>
      </c>
      <c r="G43" s="11" t="n">
        <f aca="false">SUM(G18:G42)</f>
        <v>95</v>
      </c>
      <c r="H43" s="11" t="n">
        <f aca="false">SUM(H18:H42)</f>
        <v>19</v>
      </c>
      <c r="I43" s="11" t="n">
        <f aca="false">SUM(I18:I42)</f>
        <v>89</v>
      </c>
      <c r="J43" s="11" t="n">
        <f aca="false">SUM(J18:J42)</f>
        <v>62</v>
      </c>
      <c r="K43" s="11" t="n">
        <f aca="false">SUM(K18:K42)</f>
        <v>86</v>
      </c>
      <c r="L43" s="11" t="n">
        <f aca="false">SUM(L18:L42)</f>
        <v>0</v>
      </c>
      <c r="M43" s="11" t="n">
        <f aca="false">SUM(M18:M42)</f>
        <v>227</v>
      </c>
      <c r="N43" s="11" t="n">
        <f aca="false">SUM(N18:N42)</f>
        <v>231</v>
      </c>
      <c r="O43" s="11" t="n">
        <f aca="false">SUM(O18:O42)</f>
        <v>7</v>
      </c>
      <c r="P43" s="11" t="n">
        <f aca="false">SUM(P18:P42)</f>
        <v>226</v>
      </c>
      <c r="Q43" s="12" t="n">
        <f aca="false">IF(C43=0,0,1-M43/C43)</f>
        <v>0.510775862068966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14" t="s">
        <v>66</v>
      </c>
      <c r="B1" s="14" t="s">
        <v>67</v>
      </c>
      <c r="C1" s="14" t="s">
        <v>68</v>
      </c>
      <c r="D1" s="14" t="s">
        <v>69</v>
      </c>
      <c r="E1" s="14" t="s">
        <v>70</v>
      </c>
      <c r="F1" s="14" t="s">
        <v>71</v>
      </c>
      <c r="G1" s="14" t="s">
        <v>72</v>
      </c>
      <c r="H1" s="14" t="s">
        <v>73</v>
      </c>
      <c r="I1" s="14" t="s">
        <v>74</v>
      </c>
      <c r="J1" s="14" t="s">
        <v>75</v>
      </c>
      <c r="K1" s="14" t="s">
        <v>15</v>
      </c>
      <c r="L1" s="14" t="s">
        <v>76</v>
      </c>
      <c r="M1" s="14" t="s">
        <v>77</v>
      </c>
      <c r="N1" s="14" t="s">
        <v>78</v>
      </c>
    </row>
    <row r="2" customFormat="false" ht="15" hidden="false" customHeight="true" outlineLevel="0" collapsed="false">
      <c r="A2" s="3" t="s">
        <v>79</v>
      </c>
      <c r="B2" s="3" t="s">
        <v>80</v>
      </c>
      <c r="C2" s="3" t="s">
        <v>14</v>
      </c>
      <c r="D2" s="3" t="s">
        <v>59</v>
      </c>
      <c r="E2" s="3" t="s">
        <v>59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81</v>
      </c>
      <c r="M2" s="3"/>
      <c r="N2" s="3"/>
    </row>
    <row r="3" customFormat="false" ht="15" hidden="false" customHeight="true" outlineLevel="0" collapsed="false">
      <c r="A3" s="3" t="s">
        <v>82</v>
      </c>
      <c r="B3" s="3" t="s">
        <v>80</v>
      </c>
      <c r="C3" s="3" t="s">
        <v>14</v>
      </c>
      <c r="D3" s="3" t="s">
        <v>83</v>
      </c>
      <c r="E3" s="3" t="s">
        <v>84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81</v>
      </c>
      <c r="M3" s="3"/>
      <c r="N3" s="3"/>
    </row>
    <row r="4" customFormat="false" ht="15" hidden="false" customHeight="true" outlineLevel="0" collapsed="false">
      <c r="A4" s="3" t="s">
        <v>85</v>
      </c>
      <c r="B4" s="3" t="s">
        <v>80</v>
      </c>
      <c r="C4" s="3" t="s">
        <v>14</v>
      </c>
      <c r="D4" s="3" t="s">
        <v>54</v>
      </c>
      <c r="E4" s="3" t="s">
        <v>54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81</v>
      </c>
      <c r="M4" s="3"/>
      <c r="N4" s="3"/>
    </row>
    <row r="5" customFormat="false" ht="15" hidden="false" customHeight="true" outlineLevel="0" collapsed="false">
      <c r="A5" s="3" t="s">
        <v>86</v>
      </c>
      <c r="B5" s="3" t="s">
        <v>80</v>
      </c>
      <c r="C5" s="3" t="s">
        <v>10</v>
      </c>
      <c r="D5" s="3" t="s">
        <v>87</v>
      </c>
      <c r="E5" s="3" t="s">
        <v>87</v>
      </c>
      <c r="F5" s="3" t="s">
        <v>88</v>
      </c>
      <c r="G5" s="3" t="s">
        <v>22</v>
      </c>
      <c r="H5" s="3" t="s">
        <v>4</v>
      </c>
      <c r="I5" s="3" t="s">
        <v>89</v>
      </c>
      <c r="J5" s="3" t="s">
        <v>90</v>
      </c>
      <c r="K5" s="3" t="s">
        <v>21</v>
      </c>
      <c r="L5" s="3" t="s">
        <v>91</v>
      </c>
      <c r="M5" s="3" t="s">
        <v>92</v>
      </c>
      <c r="N5" s="3" t="s">
        <v>93</v>
      </c>
    </row>
    <row r="6" customFormat="false" ht="15" hidden="false" customHeight="true" outlineLevel="0" collapsed="false">
      <c r="A6" s="3" t="s">
        <v>94</v>
      </c>
      <c r="B6" s="3" t="s">
        <v>80</v>
      </c>
      <c r="C6" s="3" t="s">
        <v>12</v>
      </c>
      <c r="D6" s="3" t="s">
        <v>95</v>
      </c>
      <c r="E6" s="3" t="s">
        <v>96</v>
      </c>
      <c r="F6" s="3"/>
      <c r="G6" s="3" t="s">
        <v>22</v>
      </c>
      <c r="H6" s="3" t="s">
        <v>2</v>
      </c>
      <c r="I6" s="3" t="s">
        <v>97</v>
      </c>
      <c r="J6" s="3" t="s">
        <v>98</v>
      </c>
      <c r="K6" s="3" t="s">
        <v>17</v>
      </c>
      <c r="L6" s="3" t="s">
        <v>99</v>
      </c>
      <c r="M6" s="15" t="n">
        <v>46327</v>
      </c>
      <c r="N6" s="3"/>
    </row>
    <row r="7" customFormat="false" ht="15" hidden="false" customHeight="true" outlineLevel="0" collapsed="false">
      <c r="A7" s="3" t="s">
        <v>100</v>
      </c>
      <c r="B7" s="3" t="s">
        <v>80</v>
      </c>
      <c r="C7" s="3" t="s">
        <v>12</v>
      </c>
      <c r="D7" s="3" t="s">
        <v>101</v>
      </c>
      <c r="E7" s="3" t="s">
        <v>102</v>
      </c>
      <c r="F7" s="3"/>
      <c r="G7" s="3" t="s">
        <v>22</v>
      </c>
      <c r="H7" s="3" t="s">
        <v>2</v>
      </c>
      <c r="I7" s="3" t="s">
        <v>103</v>
      </c>
      <c r="J7" s="3" t="s">
        <v>98</v>
      </c>
      <c r="K7" s="3" t="s">
        <v>17</v>
      </c>
      <c r="L7" s="3" t="s">
        <v>104</v>
      </c>
      <c r="M7" s="15" t="n">
        <v>46327</v>
      </c>
      <c r="N7" s="3"/>
    </row>
    <row r="8" customFormat="false" ht="15" hidden="false" customHeight="true" outlineLevel="0" collapsed="false">
      <c r="A8" s="3" t="s">
        <v>105</v>
      </c>
      <c r="B8" s="3" t="s">
        <v>80</v>
      </c>
      <c r="C8" s="3" t="s">
        <v>12</v>
      </c>
      <c r="D8" s="3" t="s">
        <v>106</v>
      </c>
      <c r="E8" s="3" t="s">
        <v>107</v>
      </c>
      <c r="F8" s="3"/>
      <c r="G8" s="3" t="s">
        <v>22</v>
      </c>
      <c r="H8" s="3" t="s">
        <v>2</v>
      </c>
      <c r="I8" s="3" t="s">
        <v>108</v>
      </c>
      <c r="J8" s="3"/>
      <c r="K8" s="3" t="s">
        <v>18</v>
      </c>
      <c r="L8" s="3"/>
      <c r="M8" s="3" t="s">
        <v>109</v>
      </c>
      <c r="N8" s="3" t="s">
        <v>110</v>
      </c>
    </row>
    <row r="9" customFormat="false" ht="15" hidden="false" customHeight="true" outlineLevel="0" collapsed="false">
      <c r="A9" s="3" t="s">
        <v>111</v>
      </c>
      <c r="B9" s="3" t="s">
        <v>80</v>
      </c>
      <c r="C9" s="3" t="s">
        <v>12</v>
      </c>
      <c r="D9" s="3" t="s">
        <v>112</v>
      </c>
      <c r="E9" s="3" t="s">
        <v>113</v>
      </c>
      <c r="F9" s="3"/>
      <c r="G9" s="3" t="s">
        <v>22</v>
      </c>
      <c r="H9" s="3" t="s">
        <v>2</v>
      </c>
      <c r="I9" s="3" t="s">
        <v>114</v>
      </c>
      <c r="J9" s="3"/>
      <c r="K9" s="3" t="s">
        <v>18</v>
      </c>
      <c r="L9" s="3"/>
      <c r="M9" s="3" t="s">
        <v>109</v>
      </c>
      <c r="N9" s="3" t="s">
        <v>115</v>
      </c>
    </row>
    <row r="10" customFormat="false" ht="15" hidden="false" customHeight="true" outlineLevel="0" collapsed="false">
      <c r="A10" s="3" t="s">
        <v>116</v>
      </c>
      <c r="B10" s="3" t="s">
        <v>80</v>
      </c>
      <c r="C10" s="3" t="s">
        <v>12</v>
      </c>
      <c r="D10" s="3" t="s">
        <v>54</v>
      </c>
      <c r="E10" s="3" t="s">
        <v>117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81</v>
      </c>
      <c r="M10" s="3"/>
      <c r="N10" s="3"/>
    </row>
    <row r="11" customFormat="false" ht="15" hidden="false" customHeight="true" outlineLevel="0" collapsed="false">
      <c r="A11" s="3" t="s">
        <v>118</v>
      </c>
      <c r="B11" s="3" t="s">
        <v>80</v>
      </c>
      <c r="C11" s="3" t="s">
        <v>12</v>
      </c>
      <c r="D11" s="3" t="s">
        <v>53</v>
      </c>
      <c r="E11" s="3" t="s">
        <v>119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81</v>
      </c>
      <c r="M11" s="3"/>
      <c r="N11" s="3"/>
    </row>
    <row r="12" customFormat="false" ht="15" hidden="false" customHeight="true" outlineLevel="0" collapsed="false">
      <c r="A12" s="3" t="s">
        <v>120</v>
      </c>
      <c r="B12" s="3" t="s">
        <v>80</v>
      </c>
      <c r="C12" s="3" t="s">
        <v>12</v>
      </c>
      <c r="D12" s="3" t="s">
        <v>101</v>
      </c>
      <c r="E12" s="3" t="s">
        <v>121</v>
      </c>
      <c r="F12" s="3"/>
      <c r="G12" s="3" t="s">
        <v>22</v>
      </c>
      <c r="H12" s="3" t="s">
        <v>2</v>
      </c>
      <c r="I12" s="3" t="s">
        <v>122</v>
      </c>
      <c r="J12" s="3" t="s">
        <v>98</v>
      </c>
      <c r="K12" s="3" t="s">
        <v>17</v>
      </c>
      <c r="L12" s="3" t="s">
        <v>123</v>
      </c>
      <c r="M12" s="15" t="n">
        <v>46327</v>
      </c>
      <c r="N12" s="3"/>
    </row>
    <row r="13" customFormat="false" ht="15" hidden="false" customHeight="true" outlineLevel="0" collapsed="false">
      <c r="A13" s="3" t="s">
        <v>124</v>
      </c>
      <c r="B13" s="3" t="s">
        <v>80</v>
      </c>
      <c r="C13" s="3" t="s">
        <v>12</v>
      </c>
      <c r="D13" s="3" t="s">
        <v>125</v>
      </c>
      <c r="E13" s="3" t="s">
        <v>126</v>
      </c>
      <c r="F13" s="3"/>
      <c r="G13" s="3" t="s">
        <v>22</v>
      </c>
      <c r="H13" s="3" t="s">
        <v>2</v>
      </c>
      <c r="I13" s="3" t="s">
        <v>127</v>
      </c>
      <c r="J13" s="3"/>
      <c r="K13" s="3" t="s">
        <v>17</v>
      </c>
      <c r="L13" s="3"/>
      <c r="M13" s="3" t="s">
        <v>109</v>
      </c>
      <c r="N13" s="3" t="s">
        <v>128</v>
      </c>
    </row>
    <row r="14" customFormat="false" ht="15" hidden="false" customHeight="true" outlineLevel="0" collapsed="false">
      <c r="A14" s="3" t="s">
        <v>129</v>
      </c>
      <c r="B14" s="3" t="s">
        <v>80</v>
      </c>
      <c r="C14" s="3" t="s">
        <v>12</v>
      </c>
      <c r="D14" s="3" t="s">
        <v>130</v>
      </c>
      <c r="E14" s="3" t="s">
        <v>131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81</v>
      </c>
      <c r="M14" s="3"/>
      <c r="N14" s="3"/>
    </row>
    <row r="15" customFormat="false" ht="15" hidden="false" customHeight="true" outlineLevel="0" collapsed="false">
      <c r="A15" s="3" t="s">
        <v>132</v>
      </c>
      <c r="B15" s="3" t="s">
        <v>80</v>
      </c>
      <c r="C15" s="3" t="s">
        <v>12</v>
      </c>
      <c r="D15" s="3" t="s">
        <v>133</v>
      </c>
      <c r="E15" s="3" t="s">
        <v>134</v>
      </c>
      <c r="F15" s="3"/>
      <c r="G15" s="3" t="s">
        <v>22</v>
      </c>
      <c r="H15" s="3" t="s">
        <v>2</v>
      </c>
      <c r="I15" s="3" t="s">
        <v>135</v>
      </c>
      <c r="J15" s="3"/>
      <c r="K15" s="3" t="s">
        <v>17</v>
      </c>
      <c r="L15" s="3"/>
      <c r="M15" s="3" t="s">
        <v>109</v>
      </c>
      <c r="N15" s="3" t="s">
        <v>136</v>
      </c>
    </row>
    <row r="16" customFormat="false" ht="15" hidden="false" customHeight="true" outlineLevel="0" collapsed="false">
      <c r="A16" s="3" t="s">
        <v>137</v>
      </c>
      <c r="B16" s="3" t="s">
        <v>80</v>
      </c>
      <c r="C16" s="3" t="s">
        <v>12</v>
      </c>
      <c r="D16" s="3" t="s">
        <v>138</v>
      </c>
      <c r="E16" s="3" t="s">
        <v>139</v>
      </c>
      <c r="F16" s="3"/>
      <c r="G16" s="3" t="s">
        <v>22</v>
      </c>
      <c r="H16" s="3" t="s">
        <v>2</v>
      </c>
      <c r="I16" s="3" t="s">
        <v>140</v>
      </c>
      <c r="J16" s="3"/>
      <c r="K16" s="3" t="s">
        <v>18</v>
      </c>
      <c r="L16" s="3"/>
      <c r="M16" s="3" t="s">
        <v>109</v>
      </c>
      <c r="N16" s="3" t="s">
        <v>141</v>
      </c>
    </row>
    <row r="17" customFormat="false" ht="15" hidden="false" customHeight="true" outlineLevel="0" collapsed="false">
      <c r="A17" s="3" t="s">
        <v>142</v>
      </c>
      <c r="B17" s="3" t="s">
        <v>80</v>
      </c>
      <c r="C17" s="3" t="s">
        <v>12</v>
      </c>
      <c r="D17" s="3" t="s">
        <v>143</v>
      </c>
      <c r="E17" s="3" t="s">
        <v>144</v>
      </c>
      <c r="F17" s="3"/>
      <c r="G17" s="3" t="s">
        <v>22</v>
      </c>
      <c r="H17" s="3" t="s">
        <v>6</v>
      </c>
      <c r="I17" s="3" t="s">
        <v>145</v>
      </c>
      <c r="J17" s="3"/>
      <c r="K17" s="3" t="s">
        <v>17</v>
      </c>
      <c r="L17" s="3"/>
      <c r="M17" s="3" t="s">
        <v>109</v>
      </c>
      <c r="N17" s="3" t="s">
        <v>146</v>
      </c>
    </row>
    <row r="18" customFormat="false" ht="15" hidden="false" customHeight="true" outlineLevel="0" collapsed="false">
      <c r="A18" s="3" t="s">
        <v>147</v>
      </c>
      <c r="B18" s="3" t="s">
        <v>80</v>
      </c>
      <c r="C18" s="3" t="s">
        <v>12</v>
      </c>
      <c r="D18" s="3" t="s">
        <v>148</v>
      </c>
      <c r="E18" s="3" t="s">
        <v>149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81</v>
      </c>
      <c r="M18" s="3"/>
      <c r="N18" s="3"/>
    </row>
    <row r="19" customFormat="false" ht="15" hidden="false" customHeight="true" outlineLevel="0" collapsed="false">
      <c r="A19" s="3" t="s">
        <v>150</v>
      </c>
      <c r="B19" s="3" t="s">
        <v>80</v>
      </c>
      <c r="C19" s="3" t="s">
        <v>13</v>
      </c>
      <c r="D19" s="3" t="s">
        <v>151</v>
      </c>
      <c r="E19" s="3" t="s">
        <v>152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81</v>
      </c>
      <c r="M19" s="3"/>
      <c r="N19" s="3"/>
    </row>
    <row r="20" customFormat="false" ht="15" hidden="false" customHeight="true" outlineLevel="0" collapsed="false">
      <c r="A20" s="3" t="s">
        <v>153</v>
      </c>
      <c r="B20" s="3" t="s">
        <v>80</v>
      </c>
      <c r="C20" s="3" t="s">
        <v>13</v>
      </c>
      <c r="D20" s="3" t="s">
        <v>154</v>
      </c>
      <c r="E20" s="3" t="s">
        <v>155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156</v>
      </c>
      <c r="B21" s="3" t="s">
        <v>80</v>
      </c>
      <c r="C21" s="3" t="s">
        <v>13</v>
      </c>
      <c r="D21" s="3" t="s">
        <v>101</v>
      </c>
      <c r="E21" s="3" t="s">
        <v>157</v>
      </c>
      <c r="F21" s="3"/>
      <c r="G21" s="3" t="s">
        <v>22</v>
      </c>
      <c r="H21" s="3" t="s">
        <v>2</v>
      </c>
      <c r="I21" s="3" t="s">
        <v>158</v>
      </c>
      <c r="J21" s="3"/>
      <c r="K21" s="3" t="s">
        <v>19</v>
      </c>
      <c r="L21" s="3"/>
      <c r="M21" s="3" t="s">
        <v>109</v>
      </c>
      <c r="N21" s="3" t="s">
        <v>159</v>
      </c>
    </row>
    <row r="22" customFormat="false" ht="15" hidden="false" customHeight="true" outlineLevel="0" collapsed="false">
      <c r="A22" s="3" t="s">
        <v>160</v>
      </c>
      <c r="B22" s="3" t="s">
        <v>80</v>
      </c>
      <c r="C22" s="3" t="s">
        <v>13</v>
      </c>
      <c r="D22" s="3" t="s">
        <v>161</v>
      </c>
      <c r="E22" s="3" t="s">
        <v>162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163</v>
      </c>
      <c r="B23" s="3" t="s">
        <v>80</v>
      </c>
      <c r="C23" s="3" t="s">
        <v>13</v>
      </c>
      <c r="D23" s="3" t="s">
        <v>164</v>
      </c>
      <c r="E23" s="3" t="s">
        <v>165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166</v>
      </c>
      <c r="B24" s="3" t="s">
        <v>80</v>
      </c>
      <c r="C24" s="3" t="s">
        <v>13</v>
      </c>
      <c r="D24" s="3" t="s">
        <v>167</v>
      </c>
      <c r="E24" s="3" t="s">
        <v>168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169</v>
      </c>
      <c r="B25" s="3" t="s">
        <v>80</v>
      </c>
      <c r="C25" s="3" t="s">
        <v>13</v>
      </c>
      <c r="D25" s="3" t="s">
        <v>170</v>
      </c>
      <c r="E25" s="3" t="s">
        <v>171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172</v>
      </c>
      <c r="B26" s="3" t="s">
        <v>80</v>
      </c>
      <c r="C26" s="3" t="s">
        <v>13</v>
      </c>
      <c r="D26" s="3" t="s">
        <v>173</v>
      </c>
      <c r="E26" s="3" t="s">
        <v>174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175</v>
      </c>
      <c r="B27" s="3" t="s">
        <v>80</v>
      </c>
      <c r="C27" s="3" t="s">
        <v>13</v>
      </c>
      <c r="D27" s="3" t="s">
        <v>176</v>
      </c>
      <c r="E27" s="3" t="s">
        <v>177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178</v>
      </c>
      <c r="B28" s="3" t="s">
        <v>80</v>
      </c>
      <c r="C28" s="3" t="s">
        <v>13</v>
      </c>
      <c r="D28" s="3" t="s">
        <v>179</v>
      </c>
      <c r="E28" s="3" t="s">
        <v>180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181</v>
      </c>
      <c r="B29" s="3" t="s">
        <v>80</v>
      </c>
      <c r="C29" s="3" t="s">
        <v>13</v>
      </c>
      <c r="D29" s="3" t="s">
        <v>182</v>
      </c>
      <c r="E29" s="3" t="s">
        <v>183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184</v>
      </c>
      <c r="B30" s="3" t="s">
        <v>80</v>
      </c>
      <c r="C30" s="3" t="s">
        <v>13</v>
      </c>
      <c r="D30" s="3" t="s">
        <v>185</v>
      </c>
      <c r="E30" s="3" t="s">
        <v>186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187</v>
      </c>
      <c r="B31" s="3" t="s">
        <v>80</v>
      </c>
      <c r="C31" s="3" t="s">
        <v>13</v>
      </c>
      <c r="D31" s="3" t="s">
        <v>188</v>
      </c>
      <c r="E31" s="3" t="s">
        <v>189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190</v>
      </c>
      <c r="B32" s="3" t="s">
        <v>80</v>
      </c>
      <c r="C32" s="3" t="s">
        <v>13</v>
      </c>
      <c r="D32" s="3" t="s">
        <v>191</v>
      </c>
      <c r="E32" s="3" t="s">
        <v>192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193</v>
      </c>
      <c r="B33" s="3" t="s">
        <v>80</v>
      </c>
      <c r="C33" s="3" t="s">
        <v>13</v>
      </c>
      <c r="D33" s="3" t="s">
        <v>130</v>
      </c>
      <c r="E33" s="3" t="s">
        <v>194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81</v>
      </c>
      <c r="M33" s="3"/>
      <c r="N33" s="3"/>
    </row>
    <row r="34" customFormat="false" ht="15" hidden="false" customHeight="true" outlineLevel="0" collapsed="false">
      <c r="A34" s="3" t="s">
        <v>195</v>
      </c>
      <c r="B34" s="3" t="s">
        <v>80</v>
      </c>
      <c r="C34" s="3" t="s">
        <v>13</v>
      </c>
      <c r="D34" s="3" t="s">
        <v>196</v>
      </c>
      <c r="E34" s="3" t="s">
        <v>197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81</v>
      </c>
      <c r="M34" s="3"/>
      <c r="N34" s="3"/>
    </row>
    <row r="35" customFormat="false" ht="15" hidden="false" customHeight="true" outlineLevel="0" collapsed="false">
      <c r="A35" s="3" t="s">
        <v>198</v>
      </c>
      <c r="B35" s="3" t="s">
        <v>80</v>
      </c>
      <c r="C35" s="3" t="s">
        <v>13</v>
      </c>
      <c r="D35" s="3" t="s">
        <v>148</v>
      </c>
      <c r="E35" s="3" t="s">
        <v>199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81</v>
      </c>
      <c r="M35" s="3"/>
      <c r="N35" s="3"/>
    </row>
    <row r="36" customFormat="false" ht="15" hidden="false" customHeight="true" outlineLevel="0" collapsed="false">
      <c r="A36" s="3" t="s">
        <v>200</v>
      </c>
      <c r="B36" s="3" t="s">
        <v>80</v>
      </c>
      <c r="C36" s="3" t="s">
        <v>13</v>
      </c>
      <c r="D36" s="3" t="s">
        <v>53</v>
      </c>
      <c r="E36" s="3" t="s">
        <v>201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81</v>
      </c>
      <c r="M36" s="3"/>
      <c r="N36" s="3"/>
    </row>
    <row r="37" customFormat="false" ht="15" hidden="false" customHeight="true" outlineLevel="0" collapsed="false">
      <c r="A37" s="3" t="s">
        <v>202</v>
      </c>
      <c r="B37" s="3" t="s">
        <v>80</v>
      </c>
      <c r="C37" s="3" t="s">
        <v>13</v>
      </c>
      <c r="D37" s="3" t="s">
        <v>101</v>
      </c>
      <c r="E37" s="3" t="s">
        <v>203</v>
      </c>
      <c r="F37" s="3"/>
      <c r="G37" s="3" t="s">
        <v>22</v>
      </c>
      <c r="H37" s="3" t="s">
        <v>2</v>
      </c>
      <c r="I37" s="3" t="s">
        <v>204</v>
      </c>
      <c r="J37" s="3"/>
      <c r="K37" s="3" t="s">
        <v>17</v>
      </c>
      <c r="L37" s="3"/>
      <c r="M37" s="3" t="s">
        <v>109</v>
      </c>
      <c r="N37" s="3" t="s">
        <v>205</v>
      </c>
    </row>
    <row r="38" customFormat="false" ht="15" hidden="false" customHeight="true" outlineLevel="0" collapsed="false">
      <c r="A38" s="3" t="s">
        <v>206</v>
      </c>
      <c r="B38" s="3" t="s">
        <v>80</v>
      </c>
      <c r="C38" s="3" t="s">
        <v>13</v>
      </c>
      <c r="D38" s="3" t="s">
        <v>188</v>
      </c>
      <c r="E38" s="3" t="s">
        <v>207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208</v>
      </c>
      <c r="B39" s="3" t="s">
        <v>80</v>
      </c>
      <c r="C39" s="3" t="s">
        <v>13</v>
      </c>
      <c r="D39" s="3" t="s">
        <v>209</v>
      </c>
      <c r="E39" s="3" t="s">
        <v>210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211</v>
      </c>
      <c r="B40" s="3" t="s">
        <v>80</v>
      </c>
      <c r="C40" s="3" t="s">
        <v>13</v>
      </c>
      <c r="D40" s="3" t="s">
        <v>191</v>
      </c>
      <c r="E40" s="3" t="s">
        <v>212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213</v>
      </c>
      <c r="B41" s="3" t="s">
        <v>80</v>
      </c>
      <c r="C41" s="3" t="s">
        <v>13</v>
      </c>
      <c r="D41" s="3" t="s">
        <v>214</v>
      </c>
      <c r="E41" s="3" t="s">
        <v>215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216</v>
      </c>
      <c r="B42" s="3" t="s">
        <v>80</v>
      </c>
      <c r="C42" s="3" t="s">
        <v>13</v>
      </c>
      <c r="D42" s="3" t="s">
        <v>101</v>
      </c>
      <c r="E42" s="3" t="s">
        <v>217</v>
      </c>
      <c r="F42" s="3"/>
      <c r="G42" s="3" t="s">
        <v>22</v>
      </c>
      <c r="H42" s="3" t="s">
        <v>2</v>
      </c>
      <c r="I42" s="3" t="s">
        <v>218</v>
      </c>
      <c r="J42" s="3"/>
      <c r="K42" s="3" t="s">
        <v>19</v>
      </c>
      <c r="L42" s="3"/>
      <c r="M42" s="3" t="s">
        <v>109</v>
      </c>
      <c r="N42" s="3" t="s">
        <v>219</v>
      </c>
    </row>
    <row r="43" customFormat="false" ht="15" hidden="false" customHeight="true" outlineLevel="0" collapsed="false">
      <c r="A43" s="3" t="s">
        <v>220</v>
      </c>
      <c r="B43" s="3" t="s">
        <v>80</v>
      </c>
      <c r="C43" s="3" t="s">
        <v>13</v>
      </c>
      <c r="D43" s="3" t="s">
        <v>161</v>
      </c>
      <c r="E43" s="3" t="s">
        <v>221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222</v>
      </c>
      <c r="B44" s="3" t="s">
        <v>80</v>
      </c>
      <c r="C44" s="3" t="s">
        <v>13</v>
      </c>
      <c r="D44" s="3" t="s">
        <v>223</v>
      </c>
      <c r="E44" s="3" t="s">
        <v>224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225</v>
      </c>
      <c r="B45" s="3" t="s">
        <v>80</v>
      </c>
      <c r="C45" s="3" t="s">
        <v>13</v>
      </c>
      <c r="D45" s="3" t="s">
        <v>226</v>
      </c>
      <c r="E45" s="3" t="s">
        <v>227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228</v>
      </c>
      <c r="B46" s="3" t="s">
        <v>80</v>
      </c>
      <c r="C46" s="3" t="s">
        <v>13</v>
      </c>
      <c r="D46" s="3" t="s">
        <v>229</v>
      </c>
      <c r="E46" s="3" t="s">
        <v>230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231</v>
      </c>
      <c r="B47" s="3" t="s">
        <v>80</v>
      </c>
      <c r="C47" s="3" t="s">
        <v>13</v>
      </c>
      <c r="D47" s="3" t="s">
        <v>232</v>
      </c>
      <c r="E47" s="3" t="s">
        <v>233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234</v>
      </c>
      <c r="B48" s="3" t="s">
        <v>80</v>
      </c>
      <c r="C48" s="3" t="s">
        <v>13</v>
      </c>
      <c r="D48" s="3" t="s">
        <v>235</v>
      </c>
      <c r="E48" s="3" t="s">
        <v>236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237</v>
      </c>
      <c r="B49" s="3" t="s">
        <v>80</v>
      </c>
      <c r="C49" s="3" t="s">
        <v>13</v>
      </c>
      <c r="D49" s="3" t="s">
        <v>238</v>
      </c>
      <c r="E49" s="3" t="s">
        <v>239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240</v>
      </c>
      <c r="B50" s="3" t="s">
        <v>80</v>
      </c>
      <c r="C50" s="3" t="s">
        <v>13</v>
      </c>
      <c r="D50" s="3" t="s">
        <v>241</v>
      </c>
      <c r="E50" s="3" t="s">
        <v>242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243</v>
      </c>
      <c r="B51" s="3" t="s">
        <v>80</v>
      </c>
      <c r="C51" s="3" t="s">
        <v>13</v>
      </c>
      <c r="D51" s="3" t="s">
        <v>188</v>
      </c>
      <c r="E51" s="3" t="s">
        <v>244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245</v>
      </c>
      <c r="B52" s="3" t="s">
        <v>80</v>
      </c>
      <c r="C52" s="3" t="s">
        <v>13</v>
      </c>
      <c r="D52" s="3" t="s">
        <v>191</v>
      </c>
      <c r="E52" s="3" t="s">
        <v>246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247</v>
      </c>
      <c r="B53" s="3" t="s">
        <v>80</v>
      </c>
      <c r="C53" s="3" t="s">
        <v>13</v>
      </c>
      <c r="D53" s="3" t="s">
        <v>130</v>
      </c>
      <c r="E53" s="3" t="s">
        <v>248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81</v>
      </c>
      <c r="M53" s="3"/>
      <c r="N53" s="3"/>
    </row>
    <row r="54" customFormat="false" ht="15" hidden="false" customHeight="true" outlineLevel="0" collapsed="false">
      <c r="A54" s="3" t="s">
        <v>249</v>
      </c>
      <c r="B54" s="3" t="s">
        <v>80</v>
      </c>
      <c r="C54" s="3" t="s">
        <v>13</v>
      </c>
      <c r="D54" s="3" t="s">
        <v>250</v>
      </c>
      <c r="E54" s="3" t="s">
        <v>251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252</v>
      </c>
      <c r="B55" s="3" t="s">
        <v>80</v>
      </c>
      <c r="C55" s="3" t="s">
        <v>13</v>
      </c>
      <c r="D55" s="3" t="s">
        <v>130</v>
      </c>
      <c r="E55" s="3" t="s">
        <v>253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81</v>
      </c>
      <c r="M55" s="3"/>
      <c r="N55" s="3"/>
    </row>
    <row r="56" customFormat="false" ht="15" hidden="false" customHeight="true" outlineLevel="0" collapsed="false">
      <c r="A56" s="3" t="s">
        <v>254</v>
      </c>
      <c r="B56" s="3" t="s">
        <v>80</v>
      </c>
      <c r="C56" s="3" t="s">
        <v>13</v>
      </c>
      <c r="D56" s="3" t="s">
        <v>255</v>
      </c>
      <c r="E56" s="3" t="s">
        <v>256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257</v>
      </c>
      <c r="B57" s="3" t="s">
        <v>80</v>
      </c>
      <c r="C57" s="3" t="s">
        <v>13</v>
      </c>
      <c r="D57" s="3" t="s">
        <v>258</v>
      </c>
      <c r="E57" s="3" t="s">
        <v>259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260</v>
      </c>
      <c r="B58" s="3" t="s">
        <v>80</v>
      </c>
      <c r="C58" s="3" t="s">
        <v>13</v>
      </c>
      <c r="D58" s="3" t="s">
        <v>261</v>
      </c>
      <c r="E58" s="3" t="s">
        <v>262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81</v>
      </c>
      <c r="M58" s="3"/>
      <c r="N58" s="3"/>
    </row>
    <row r="59" customFormat="false" ht="15" hidden="false" customHeight="true" outlineLevel="0" collapsed="false">
      <c r="A59" s="3" t="s">
        <v>263</v>
      </c>
      <c r="B59" s="3" t="s">
        <v>80</v>
      </c>
      <c r="C59" s="3" t="s">
        <v>13</v>
      </c>
      <c r="D59" s="3" t="s">
        <v>264</v>
      </c>
      <c r="E59" s="3" t="s">
        <v>265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81</v>
      </c>
      <c r="M59" s="3"/>
      <c r="N59" s="3"/>
    </row>
    <row r="60" customFormat="false" ht="15" hidden="false" customHeight="true" outlineLevel="0" collapsed="false">
      <c r="A60" s="3" t="s">
        <v>266</v>
      </c>
      <c r="B60" s="3" t="s">
        <v>80</v>
      </c>
      <c r="C60" s="3" t="s">
        <v>13</v>
      </c>
      <c r="D60" s="3" t="s">
        <v>267</v>
      </c>
      <c r="E60" s="3" t="s">
        <v>268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269</v>
      </c>
      <c r="B61" s="3" t="s">
        <v>80</v>
      </c>
      <c r="C61" s="3" t="s">
        <v>13</v>
      </c>
      <c r="D61" s="3" t="s">
        <v>196</v>
      </c>
      <c r="E61" s="3" t="s">
        <v>270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81</v>
      </c>
      <c r="M61" s="3"/>
      <c r="N61" s="3"/>
    </row>
    <row r="62" customFormat="false" ht="15" hidden="false" customHeight="true" outlineLevel="0" collapsed="false">
      <c r="A62" s="3" t="s">
        <v>271</v>
      </c>
      <c r="B62" s="3" t="s">
        <v>80</v>
      </c>
      <c r="C62" s="3" t="s">
        <v>13</v>
      </c>
      <c r="D62" s="3" t="s">
        <v>148</v>
      </c>
      <c r="E62" s="3" t="s">
        <v>272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81</v>
      </c>
      <c r="M62" s="3"/>
      <c r="N62" s="3"/>
    </row>
    <row r="63" customFormat="false" ht="15" hidden="false" customHeight="true" outlineLevel="0" collapsed="false">
      <c r="A63" s="3" t="s">
        <v>273</v>
      </c>
      <c r="B63" s="3" t="s">
        <v>80</v>
      </c>
      <c r="C63" s="3" t="s">
        <v>13</v>
      </c>
      <c r="D63" s="3" t="s">
        <v>274</v>
      </c>
      <c r="E63" s="3" t="s">
        <v>275</v>
      </c>
      <c r="F63" s="3"/>
      <c r="G63" s="3" t="s">
        <v>22</v>
      </c>
      <c r="H63" s="3" t="s">
        <v>2</v>
      </c>
      <c r="I63" s="3" t="s">
        <v>276</v>
      </c>
      <c r="J63" s="3"/>
      <c r="K63" s="3" t="s">
        <v>17</v>
      </c>
      <c r="L63" s="3"/>
      <c r="M63" s="3" t="s">
        <v>109</v>
      </c>
      <c r="N63" s="3" t="s">
        <v>277</v>
      </c>
    </row>
    <row r="64" customFormat="false" ht="15" hidden="false" customHeight="true" outlineLevel="0" collapsed="false">
      <c r="A64" s="3" t="s">
        <v>278</v>
      </c>
      <c r="B64" s="3" t="s">
        <v>80</v>
      </c>
      <c r="C64" s="3" t="s">
        <v>12</v>
      </c>
      <c r="D64" s="3" t="s">
        <v>279</v>
      </c>
      <c r="E64" s="3" t="s">
        <v>280</v>
      </c>
      <c r="F64" s="3"/>
      <c r="G64" s="3" t="s">
        <v>22</v>
      </c>
      <c r="H64" s="3" t="s">
        <v>2</v>
      </c>
      <c r="I64" s="3" t="s">
        <v>281</v>
      </c>
      <c r="J64" s="3" t="s">
        <v>98</v>
      </c>
      <c r="K64" s="3" t="s">
        <v>17</v>
      </c>
      <c r="L64" s="3" t="s">
        <v>282</v>
      </c>
      <c r="M64" s="15" t="n">
        <v>46327</v>
      </c>
      <c r="N64" s="3"/>
    </row>
    <row r="65" customFormat="false" ht="15" hidden="false" customHeight="true" outlineLevel="0" collapsed="false">
      <c r="A65" s="3" t="s">
        <v>283</v>
      </c>
      <c r="B65" s="3" t="s">
        <v>80</v>
      </c>
      <c r="C65" s="3" t="s">
        <v>12</v>
      </c>
      <c r="D65" s="3" t="s">
        <v>284</v>
      </c>
      <c r="E65" s="3" t="s">
        <v>285</v>
      </c>
      <c r="F65" s="3"/>
      <c r="G65" s="3" t="s">
        <v>22</v>
      </c>
      <c r="H65" s="3" t="s">
        <v>2</v>
      </c>
      <c r="I65" s="3" t="s">
        <v>286</v>
      </c>
      <c r="J65" s="3"/>
      <c r="K65" s="3" t="s">
        <v>17</v>
      </c>
      <c r="L65" s="3" t="s">
        <v>81</v>
      </c>
      <c r="M65" s="3" t="s">
        <v>109</v>
      </c>
      <c r="N65" s="3" t="s">
        <v>287</v>
      </c>
    </row>
    <row r="66" customFormat="false" ht="15" hidden="false" customHeight="true" outlineLevel="0" collapsed="false">
      <c r="A66" s="3" t="s">
        <v>288</v>
      </c>
      <c r="B66" s="3" t="s">
        <v>80</v>
      </c>
      <c r="C66" s="3" t="s">
        <v>12</v>
      </c>
      <c r="D66" s="3" t="s">
        <v>53</v>
      </c>
      <c r="E66" s="3" t="s">
        <v>289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81</v>
      </c>
      <c r="M66" s="3"/>
      <c r="N66" s="3"/>
    </row>
    <row r="67" customFormat="false" ht="15" hidden="false" customHeight="true" outlineLevel="0" collapsed="false">
      <c r="A67" s="3" t="s">
        <v>290</v>
      </c>
      <c r="B67" s="3" t="s">
        <v>80</v>
      </c>
      <c r="C67" s="3" t="s">
        <v>12</v>
      </c>
      <c r="D67" s="3" t="s">
        <v>101</v>
      </c>
      <c r="E67" s="3" t="s">
        <v>291</v>
      </c>
      <c r="F67" s="3"/>
      <c r="G67" s="3" t="s">
        <v>22</v>
      </c>
      <c r="H67" s="3" t="s">
        <v>6</v>
      </c>
      <c r="I67" s="3" t="s">
        <v>292</v>
      </c>
      <c r="J67" s="3" t="s">
        <v>98</v>
      </c>
      <c r="K67" s="3" t="s">
        <v>17</v>
      </c>
      <c r="L67" s="3" t="s">
        <v>293</v>
      </c>
      <c r="M67" s="15" t="n">
        <v>46327</v>
      </c>
      <c r="N67" s="3" t="s">
        <v>294</v>
      </c>
    </row>
    <row r="68" customFormat="false" ht="15" hidden="false" customHeight="true" outlineLevel="0" collapsed="false">
      <c r="A68" s="3" t="s">
        <v>295</v>
      </c>
      <c r="B68" s="3" t="s">
        <v>80</v>
      </c>
      <c r="C68" s="3" t="s">
        <v>12</v>
      </c>
      <c r="D68" s="3" t="s">
        <v>296</v>
      </c>
      <c r="E68" s="3" t="s">
        <v>297</v>
      </c>
      <c r="F68" s="3"/>
      <c r="G68" s="3" t="s">
        <v>22</v>
      </c>
      <c r="H68" s="3" t="s">
        <v>2</v>
      </c>
      <c r="I68" s="3" t="s">
        <v>298</v>
      </c>
      <c r="J68" s="3"/>
      <c r="K68" s="3" t="s">
        <v>18</v>
      </c>
      <c r="L68" s="3" t="s">
        <v>81</v>
      </c>
      <c r="M68" s="3" t="s">
        <v>109</v>
      </c>
      <c r="N68" s="3" t="s">
        <v>299</v>
      </c>
    </row>
    <row r="69" customFormat="false" ht="15" hidden="false" customHeight="true" outlineLevel="0" collapsed="false">
      <c r="A69" s="3" t="s">
        <v>300</v>
      </c>
      <c r="B69" s="3" t="s">
        <v>80</v>
      </c>
      <c r="C69" s="3" t="s">
        <v>12</v>
      </c>
      <c r="D69" s="3" t="s">
        <v>191</v>
      </c>
      <c r="E69" s="3" t="s">
        <v>301</v>
      </c>
      <c r="F69" s="3"/>
      <c r="G69" s="3" t="s">
        <v>22</v>
      </c>
      <c r="H69" s="3" t="s">
        <v>6</v>
      </c>
      <c r="I69" s="3" t="s">
        <v>145</v>
      </c>
      <c r="J69" s="3"/>
      <c r="K69" s="3" t="s">
        <v>17</v>
      </c>
      <c r="L69" s="3"/>
      <c r="M69" s="3" t="s">
        <v>109</v>
      </c>
      <c r="N69" s="3" t="s">
        <v>302</v>
      </c>
    </row>
    <row r="70" customFormat="false" ht="15" hidden="false" customHeight="true" outlineLevel="0" collapsed="false">
      <c r="A70" s="3" t="s">
        <v>303</v>
      </c>
      <c r="B70" s="3" t="s">
        <v>80</v>
      </c>
      <c r="C70" s="3" t="s">
        <v>12</v>
      </c>
      <c r="D70" s="3" t="s">
        <v>130</v>
      </c>
      <c r="E70" s="3" t="s">
        <v>304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81</v>
      </c>
      <c r="M70" s="3"/>
      <c r="N70" s="3"/>
    </row>
    <row r="71" customFormat="false" ht="15" hidden="false" customHeight="true" outlineLevel="0" collapsed="false">
      <c r="A71" s="3" t="s">
        <v>305</v>
      </c>
      <c r="B71" s="3" t="s">
        <v>80</v>
      </c>
      <c r="C71" s="3" t="s">
        <v>12</v>
      </c>
      <c r="D71" s="3" t="s">
        <v>106</v>
      </c>
      <c r="E71" s="3" t="s">
        <v>306</v>
      </c>
      <c r="F71" s="3"/>
      <c r="G71" s="3" t="s">
        <v>22</v>
      </c>
      <c r="H71" s="3" t="s">
        <v>2</v>
      </c>
      <c r="I71" s="3" t="s">
        <v>307</v>
      </c>
      <c r="J71" s="3"/>
      <c r="K71" s="3" t="s">
        <v>18</v>
      </c>
      <c r="L71" s="3"/>
      <c r="M71" s="3" t="s">
        <v>109</v>
      </c>
      <c r="N71" s="3" t="s">
        <v>308</v>
      </c>
    </row>
    <row r="72" customFormat="false" ht="15" hidden="false" customHeight="true" outlineLevel="0" collapsed="false">
      <c r="A72" s="3" t="s">
        <v>309</v>
      </c>
      <c r="B72" s="3" t="s">
        <v>80</v>
      </c>
      <c r="C72" s="3" t="s">
        <v>12</v>
      </c>
      <c r="D72" s="3" t="s">
        <v>112</v>
      </c>
      <c r="E72" s="3" t="s">
        <v>310</v>
      </c>
      <c r="F72" s="3"/>
      <c r="G72" s="3" t="s">
        <v>22</v>
      </c>
      <c r="H72" s="3" t="s">
        <v>2</v>
      </c>
      <c r="I72" s="3" t="s">
        <v>114</v>
      </c>
      <c r="J72" s="3"/>
      <c r="K72" s="3" t="s">
        <v>17</v>
      </c>
      <c r="L72" s="3"/>
      <c r="M72" s="3" t="s">
        <v>109</v>
      </c>
      <c r="N72" s="3" t="s">
        <v>311</v>
      </c>
    </row>
    <row r="73" customFormat="false" ht="15" hidden="false" customHeight="true" outlineLevel="0" collapsed="false">
      <c r="A73" s="3" t="s">
        <v>312</v>
      </c>
      <c r="B73" s="3" t="s">
        <v>80</v>
      </c>
      <c r="C73" s="3" t="s">
        <v>12</v>
      </c>
      <c r="D73" s="3" t="s">
        <v>148</v>
      </c>
      <c r="E73" s="3" t="s">
        <v>313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81</v>
      </c>
      <c r="M73" s="3"/>
      <c r="N73" s="3"/>
    </row>
    <row r="74" customFormat="false" ht="15" hidden="false" customHeight="true" outlineLevel="0" collapsed="false">
      <c r="A74" s="3" t="s">
        <v>314</v>
      </c>
      <c r="B74" s="3" t="s">
        <v>80</v>
      </c>
      <c r="C74" s="3" t="s">
        <v>12</v>
      </c>
      <c r="D74" s="3" t="s">
        <v>315</v>
      </c>
      <c r="E74" s="3" t="s">
        <v>316</v>
      </c>
      <c r="F74" s="3"/>
      <c r="G74" s="3" t="s">
        <v>22</v>
      </c>
      <c r="H74" s="3" t="s">
        <v>2</v>
      </c>
      <c r="I74" s="3" t="s">
        <v>317</v>
      </c>
      <c r="J74" s="3" t="s">
        <v>98</v>
      </c>
      <c r="K74" s="3" t="s">
        <v>17</v>
      </c>
      <c r="L74" s="3" t="s">
        <v>318</v>
      </c>
      <c r="M74" s="15" t="n">
        <v>46327</v>
      </c>
      <c r="N74" s="3"/>
    </row>
    <row r="75" customFormat="false" ht="15" hidden="false" customHeight="true" outlineLevel="0" collapsed="false">
      <c r="A75" s="3" t="s">
        <v>319</v>
      </c>
      <c r="B75" s="3" t="s">
        <v>80</v>
      </c>
      <c r="C75" s="3" t="s">
        <v>12</v>
      </c>
      <c r="D75" s="3" t="s">
        <v>54</v>
      </c>
      <c r="E75" s="3" t="s">
        <v>320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81</v>
      </c>
      <c r="M75" s="3"/>
      <c r="N75" s="3"/>
    </row>
    <row r="76" customFormat="false" ht="15" hidden="false" customHeight="true" outlineLevel="0" collapsed="false">
      <c r="A76" s="3" t="s">
        <v>321</v>
      </c>
      <c r="B76" s="3" t="s">
        <v>80</v>
      </c>
      <c r="C76" s="3" t="s">
        <v>12</v>
      </c>
      <c r="D76" s="3" t="s">
        <v>53</v>
      </c>
      <c r="E76" s="3" t="s">
        <v>322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81</v>
      </c>
      <c r="M76" s="3"/>
      <c r="N76" s="3"/>
    </row>
    <row r="77" customFormat="false" ht="15" hidden="false" customHeight="true" outlineLevel="0" collapsed="false">
      <c r="A77" s="3" t="s">
        <v>323</v>
      </c>
      <c r="B77" s="3" t="s">
        <v>80</v>
      </c>
      <c r="C77" s="3" t="s">
        <v>12</v>
      </c>
      <c r="D77" s="3" t="s">
        <v>101</v>
      </c>
      <c r="E77" s="3" t="s">
        <v>324</v>
      </c>
      <c r="F77" s="3"/>
      <c r="G77" s="3" t="s">
        <v>22</v>
      </c>
      <c r="H77" s="3" t="s">
        <v>2</v>
      </c>
      <c r="I77" s="3" t="s">
        <v>97</v>
      </c>
      <c r="J77" s="3" t="s">
        <v>98</v>
      </c>
      <c r="K77" s="3" t="s">
        <v>17</v>
      </c>
      <c r="L77" s="3" t="s">
        <v>325</v>
      </c>
      <c r="M77" s="15" t="n">
        <v>46327</v>
      </c>
      <c r="N77" s="3"/>
    </row>
    <row r="78" customFormat="false" ht="15" hidden="false" customHeight="true" outlineLevel="0" collapsed="false">
      <c r="A78" s="3" t="s">
        <v>326</v>
      </c>
      <c r="B78" s="3" t="s">
        <v>80</v>
      </c>
      <c r="C78" s="3" t="s">
        <v>12</v>
      </c>
      <c r="D78" s="3" t="s">
        <v>125</v>
      </c>
      <c r="E78" s="3" t="s">
        <v>327</v>
      </c>
      <c r="F78" s="3"/>
      <c r="G78" s="3" t="s">
        <v>22</v>
      </c>
      <c r="H78" s="3" t="s">
        <v>2</v>
      </c>
      <c r="I78" s="3" t="s">
        <v>127</v>
      </c>
      <c r="J78" s="3"/>
      <c r="K78" s="3" t="s">
        <v>17</v>
      </c>
      <c r="L78" s="3"/>
      <c r="M78" s="3" t="s">
        <v>109</v>
      </c>
      <c r="N78" s="3" t="s">
        <v>328</v>
      </c>
    </row>
    <row r="79" customFormat="false" ht="15" hidden="false" customHeight="true" outlineLevel="0" collapsed="false">
      <c r="A79" s="3" t="s">
        <v>329</v>
      </c>
      <c r="B79" s="3" t="s">
        <v>80</v>
      </c>
      <c r="C79" s="3" t="s">
        <v>12</v>
      </c>
      <c r="D79" s="3" t="s">
        <v>130</v>
      </c>
      <c r="E79" s="3" t="s">
        <v>330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81</v>
      </c>
      <c r="M79" s="3"/>
      <c r="N79" s="3"/>
    </row>
    <row r="80" customFormat="false" ht="15" hidden="false" customHeight="true" outlineLevel="0" collapsed="false">
      <c r="A80" s="3" t="s">
        <v>331</v>
      </c>
      <c r="B80" s="3" t="s">
        <v>80</v>
      </c>
      <c r="C80" s="3" t="s">
        <v>12</v>
      </c>
      <c r="D80" s="3" t="s">
        <v>133</v>
      </c>
      <c r="E80" s="3" t="s">
        <v>332</v>
      </c>
      <c r="F80" s="3"/>
      <c r="G80" s="3" t="s">
        <v>22</v>
      </c>
      <c r="H80" s="3" t="s">
        <v>2</v>
      </c>
      <c r="I80" s="3" t="s">
        <v>135</v>
      </c>
      <c r="J80" s="3"/>
      <c r="K80" s="3" t="s">
        <v>17</v>
      </c>
      <c r="L80" s="3"/>
      <c r="M80" s="3" t="s">
        <v>109</v>
      </c>
      <c r="N80" s="3" t="s">
        <v>333</v>
      </c>
    </row>
    <row r="81" customFormat="false" ht="15" hidden="false" customHeight="true" outlineLevel="0" collapsed="false">
      <c r="A81" s="3" t="s">
        <v>334</v>
      </c>
      <c r="B81" s="3" t="s">
        <v>80</v>
      </c>
      <c r="C81" s="3" t="s">
        <v>12</v>
      </c>
      <c r="D81" s="3" t="s">
        <v>138</v>
      </c>
      <c r="E81" s="3" t="s">
        <v>335</v>
      </c>
      <c r="F81" s="3"/>
      <c r="G81" s="3" t="s">
        <v>22</v>
      </c>
      <c r="H81" s="3" t="s">
        <v>2</v>
      </c>
      <c r="I81" s="3" t="s">
        <v>140</v>
      </c>
      <c r="J81" s="3"/>
      <c r="K81" s="3" t="s">
        <v>17</v>
      </c>
      <c r="L81" s="3"/>
      <c r="M81" s="3" t="s">
        <v>109</v>
      </c>
      <c r="N81" s="3" t="s">
        <v>336</v>
      </c>
    </row>
    <row r="82" customFormat="false" ht="15" hidden="false" customHeight="true" outlineLevel="0" collapsed="false">
      <c r="A82" s="3" t="s">
        <v>337</v>
      </c>
      <c r="B82" s="3" t="s">
        <v>80</v>
      </c>
      <c r="C82" s="3" t="s">
        <v>12</v>
      </c>
      <c r="D82" s="3" t="s">
        <v>143</v>
      </c>
      <c r="E82" s="3" t="s">
        <v>338</v>
      </c>
      <c r="F82" s="3"/>
      <c r="G82" s="3" t="s">
        <v>22</v>
      </c>
      <c r="H82" s="3" t="s">
        <v>2</v>
      </c>
      <c r="I82" s="3" t="s">
        <v>97</v>
      </c>
      <c r="J82" s="3" t="s">
        <v>98</v>
      </c>
      <c r="K82" s="3" t="s">
        <v>17</v>
      </c>
      <c r="L82" s="3" t="s">
        <v>339</v>
      </c>
      <c r="M82" s="15" t="n">
        <v>46327</v>
      </c>
      <c r="N82" s="3"/>
    </row>
    <row r="83" customFormat="false" ht="15" hidden="false" customHeight="true" outlineLevel="0" collapsed="false">
      <c r="A83" s="3" t="s">
        <v>340</v>
      </c>
      <c r="B83" s="3" t="s">
        <v>80</v>
      </c>
      <c r="C83" s="3" t="s">
        <v>12</v>
      </c>
      <c r="D83" s="3" t="s">
        <v>148</v>
      </c>
      <c r="E83" s="3" t="s">
        <v>341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81</v>
      </c>
      <c r="M83" s="3"/>
      <c r="N83" s="3"/>
    </row>
    <row r="84" customFormat="false" ht="15" hidden="false" customHeight="true" outlineLevel="0" collapsed="false">
      <c r="A84" s="3" t="s">
        <v>342</v>
      </c>
      <c r="B84" s="3" t="s">
        <v>80</v>
      </c>
      <c r="C84" s="3" t="s">
        <v>12</v>
      </c>
      <c r="D84" s="3" t="s">
        <v>343</v>
      </c>
      <c r="E84" s="3" t="s">
        <v>344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81</v>
      </c>
      <c r="M84" s="3"/>
      <c r="N84" s="3"/>
    </row>
    <row r="85" customFormat="false" ht="15" hidden="false" customHeight="true" outlineLevel="0" collapsed="false">
      <c r="A85" s="3" t="s">
        <v>345</v>
      </c>
      <c r="B85" s="3" t="s">
        <v>80</v>
      </c>
      <c r="C85" s="3" t="s">
        <v>12</v>
      </c>
      <c r="D85" s="3" t="s">
        <v>346</v>
      </c>
      <c r="E85" s="3" t="s">
        <v>347</v>
      </c>
      <c r="F85" s="3"/>
      <c r="G85" s="3" t="s">
        <v>22</v>
      </c>
      <c r="H85" s="3" t="s">
        <v>2</v>
      </c>
      <c r="I85" s="3" t="s">
        <v>348</v>
      </c>
      <c r="J85" s="3"/>
      <c r="K85" s="3" t="s">
        <v>18</v>
      </c>
      <c r="L85" s="3"/>
      <c r="M85" s="3" t="s">
        <v>109</v>
      </c>
      <c r="N85" s="3" t="s">
        <v>349</v>
      </c>
    </row>
    <row r="86" customFormat="false" ht="15" hidden="false" customHeight="true" outlineLevel="0" collapsed="false">
      <c r="A86" s="3" t="s">
        <v>350</v>
      </c>
      <c r="B86" s="3" t="s">
        <v>80</v>
      </c>
      <c r="C86" s="3" t="s">
        <v>12</v>
      </c>
      <c r="D86" s="3" t="s">
        <v>351</v>
      </c>
      <c r="E86" s="3" t="s">
        <v>352</v>
      </c>
      <c r="F86" s="3"/>
      <c r="G86" s="3" t="s">
        <v>22</v>
      </c>
      <c r="H86" s="3" t="s">
        <v>2</v>
      </c>
      <c r="I86" s="3" t="s">
        <v>348</v>
      </c>
      <c r="J86" s="3"/>
      <c r="K86" s="3" t="s">
        <v>18</v>
      </c>
      <c r="L86" s="3"/>
      <c r="M86" s="3" t="s">
        <v>109</v>
      </c>
      <c r="N86" s="3" t="s">
        <v>353</v>
      </c>
    </row>
    <row r="87" customFormat="false" ht="15" hidden="false" customHeight="true" outlineLevel="0" collapsed="false">
      <c r="A87" s="3" t="s">
        <v>354</v>
      </c>
      <c r="B87" s="3" t="s">
        <v>80</v>
      </c>
      <c r="C87" s="3" t="s">
        <v>12</v>
      </c>
      <c r="D87" s="3" t="s">
        <v>355</v>
      </c>
      <c r="E87" s="3" t="s">
        <v>356</v>
      </c>
      <c r="F87" s="3"/>
      <c r="G87" s="3" t="s">
        <v>22</v>
      </c>
      <c r="H87" s="3" t="s">
        <v>2</v>
      </c>
      <c r="I87" s="3" t="s">
        <v>97</v>
      </c>
      <c r="J87" s="3" t="s">
        <v>98</v>
      </c>
      <c r="K87" s="3" t="s">
        <v>17</v>
      </c>
      <c r="L87" s="3" t="s">
        <v>357</v>
      </c>
      <c r="M87" s="15" t="n">
        <v>46327</v>
      </c>
      <c r="N87" s="3"/>
    </row>
    <row r="88" customFormat="false" ht="15" hidden="false" customHeight="true" outlineLevel="0" collapsed="false">
      <c r="A88" s="3" t="s">
        <v>358</v>
      </c>
      <c r="B88" s="3" t="s">
        <v>80</v>
      </c>
      <c r="C88" s="3" t="s">
        <v>12</v>
      </c>
      <c r="D88" s="3" t="s">
        <v>359</v>
      </c>
      <c r="E88" s="3" t="s">
        <v>360</v>
      </c>
      <c r="F88" s="3"/>
      <c r="G88" s="3" t="s">
        <v>22</v>
      </c>
      <c r="H88" s="3" t="s">
        <v>2</v>
      </c>
      <c r="I88" s="3" t="s">
        <v>361</v>
      </c>
      <c r="J88" s="3" t="s">
        <v>98</v>
      </c>
      <c r="K88" s="3" t="s">
        <v>17</v>
      </c>
      <c r="L88" s="3" t="s">
        <v>362</v>
      </c>
      <c r="M88" s="15" t="n">
        <v>46327</v>
      </c>
      <c r="N88" s="3"/>
    </row>
    <row r="89" customFormat="false" ht="15" hidden="false" customHeight="true" outlineLevel="0" collapsed="false">
      <c r="A89" s="3" t="s">
        <v>363</v>
      </c>
      <c r="B89" s="3" t="s">
        <v>80</v>
      </c>
      <c r="C89" s="3" t="s">
        <v>12</v>
      </c>
      <c r="D89" s="3" t="s">
        <v>364</v>
      </c>
      <c r="E89" s="3" t="s">
        <v>365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81</v>
      </c>
      <c r="M89" s="3"/>
      <c r="N89" s="3"/>
    </row>
    <row r="90" customFormat="false" ht="15" hidden="false" customHeight="true" outlineLevel="0" collapsed="false">
      <c r="A90" s="3" t="s">
        <v>366</v>
      </c>
      <c r="B90" s="3" t="s">
        <v>80</v>
      </c>
      <c r="C90" s="3" t="s">
        <v>10</v>
      </c>
      <c r="D90" s="3" t="s">
        <v>367</v>
      </c>
      <c r="E90" s="3" t="s">
        <v>367</v>
      </c>
      <c r="F90" s="3" t="s">
        <v>368</v>
      </c>
      <c r="G90" s="3" t="s">
        <v>22</v>
      </c>
      <c r="H90" s="3" t="s">
        <v>3</v>
      </c>
      <c r="I90" s="3" t="s">
        <v>369</v>
      </c>
      <c r="J90" s="3" t="s">
        <v>370</v>
      </c>
      <c r="K90" s="3" t="s">
        <v>17</v>
      </c>
      <c r="L90" s="3" t="s">
        <v>371</v>
      </c>
      <c r="M90" s="3" t="s">
        <v>92</v>
      </c>
      <c r="N90" s="3" t="s">
        <v>372</v>
      </c>
    </row>
    <row r="91" customFormat="false" ht="15" hidden="false" customHeight="true" outlineLevel="0" collapsed="false">
      <c r="A91" s="3" t="s">
        <v>373</v>
      </c>
      <c r="B91" s="3" t="s">
        <v>80</v>
      </c>
      <c r="C91" s="3" t="s">
        <v>10</v>
      </c>
      <c r="D91" s="3" t="s">
        <v>374</v>
      </c>
      <c r="E91" s="3" t="s">
        <v>374</v>
      </c>
      <c r="F91" s="3" t="s">
        <v>375</v>
      </c>
      <c r="G91" s="3" t="s">
        <v>22</v>
      </c>
      <c r="H91" s="3" t="s">
        <v>2</v>
      </c>
      <c r="I91" s="3" t="s">
        <v>376</v>
      </c>
      <c r="J91" s="3"/>
      <c r="K91" s="3" t="s">
        <v>19</v>
      </c>
      <c r="L91" s="3" t="s">
        <v>377</v>
      </c>
      <c r="M91" s="3" t="s">
        <v>92</v>
      </c>
      <c r="N91" s="3" t="s">
        <v>378</v>
      </c>
    </row>
    <row r="92" customFormat="false" ht="15" hidden="false" customHeight="true" outlineLevel="0" collapsed="false">
      <c r="A92" s="3" t="s">
        <v>379</v>
      </c>
      <c r="B92" s="3" t="s">
        <v>80</v>
      </c>
      <c r="C92" s="3" t="s">
        <v>10</v>
      </c>
      <c r="D92" s="3" t="s">
        <v>101</v>
      </c>
      <c r="E92" s="3" t="s">
        <v>101</v>
      </c>
      <c r="F92" s="3" t="s">
        <v>380</v>
      </c>
      <c r="G92" s="3" t="s">
        <v>22</v>
      </c>
      <c r="H92" s="3" t="s">
        <v>2</v>
      </c>
      <c r="I92" s="3" t="s">
        <v>381</v>
      </c>
      <c r="J92" s="3"/>
      <c r="K92" s="3" t="s">
        <v>18</v>
      </c>
      <c r="L92" s="3" t="s">
        <v>382</v>
      </c>
      <c r="M92" s="3" t="s">
        <v>92</v>
      </c>
      <c r="N92" s="3" t="s">
        <v>383</v>
      </c>
    </row>
    <row r="93" customFormat="false" ht="15" hidden="false" customHeight="true" outlineLevel="0" collapsed="false">
      <c r="A93" s="3" t="s">
        <v>384</v>
      </c>
      <c r="B93" s="3" t="s">
        <v>80</v>
      </c>
      <c r="C93" s="3" t="s">
        <v>10</v>
      </c>
      <c r="D93" s="3" t="s">
        <v>101</v>
      </c>
      <c r="E93" s="3" t="s">
        <v>385</v>
      </c>
      <c r="F93" s="3" t="s">
        <v>386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387</v>
      </c>
      <c r="M93" s="3" t="s">
        <v>92</v>
      </c>
      <c r="N93" s="3"/>
    </row>
    <row r="94" customFormat="false" ht="15" hidden="false" customHeight="true" outlineLevel="0" collapsed="false">
      <c r="A94" s="3" t="s">
        <v>388</v>
      </c>
      <c r="B94" s="3" t="s">
        <v>80</v>
      </c>
      <c r="C94" s="3" t="s">
        <v>8</v>
      </c>
      <c r="D94" s="3" t="s">
        <v>389</v>
      </c>
      <c r="E94" s="3" t="s">
        <v>390</v>
      </c>
      <c r="F94" s="3" t="s">
        <v>391</v>
      </c>
      <c r="G94" s="3" t="s">
        <v>22</v>
      </c>
      <c r="H94" s="3" t="s">
        <v>2</v>
      </c>
      <c r="I94" s="3" t="s">
        <v>392</v>
      </c>
      <c r="J94" s="3"/>
      <c r="K94" s="3" t="s">
        <v>18</v>
      </c>
      <c r="L94" s="3" t="s">
        <v>393</v>
      </c>
      <c r="M94" s="3" t="s">
        <v>92</v>
      </c>
      <c r="N94" s="3" t="s">
        <v>394</v>
      </c>
    </row>
    <row r="95" customFormat="false" ht="15" hidden="false" customHeight="true" outlineLevel="0" collapsed="false">
      <c r="A95" s="3" t="s">
        <v>395</v>
      </c>
      <c r="B95" s="3" t="s">
        <v>80</v>
      </c>
      <c r="C95" s="3" t="s">
        <v>8</v>
      </c>
      <c r="D95" s="3" t="s">
        <v>396</v>
      </c>
      <c r="E95" s="3" t="s">
        <v>397</v>
      </c>
      <c r="F95" s="3" t="s">
        <v>398</v>
      </c>
      <c r="G95" s="3" t="s">
        <v>22</v>
      </c>
      <c r="H95" s="3" t="s">
        <v>3</v>
      </c>
      <c r="I95" s="3" t="s">
        <v>399</v>
      </c>
      <c r="J95" s="3" t="s">
        <v>400</v>
      </c>
      <c r="K95" s="3" t="s">
        <v>18</v>
      </c>
      <c r="L95" s="3" t="s">
        <v>401</v>
      </c>
      <c r="M95" s="3" t="s">
        <v>92</v>
      </c>
      <c r="N95" s="3" t="s">
        <v>402</v>
      </c>
    </row>
    <row r="96" customFormat="false" ht="15" hidden="false" customHeight="true" outlineLevel="0" collapsed="false">
      <c r="A96" s="3" t="s">
        <v>403</v>
      </c>
      <c r="B96" s="3" t="s">
        <v>80</v>
      </c>
      <c r="C96" s="3" t="s">
        <v>8</v>
      </c>
      <c r="D96" s="3" t="s">
        <v>404</v>
      </c>
      <c r="E96" s="3" t="s">
        <v>405</v>
      </c>
      <c r="F96" s="3" t="s">
        <v>406</v>
      </c>
      <c r="G96" s="3" t="s">
        <v>22</v>
      </c>
      <c r="H96" s="3" t="s">
        <v>2</v>
      </c>
      <c r="I96" s="3" t="s">
        <v>407</v>
      </c>
      <c r="J96" s="3"/>
      <c r="K96" s="3" t="s">
        <v>18</v>
      </c>
      <c r="L96" s="3" t="s">
        <v>408</v>
      </c>
      <c r="M96" s="3" t="s">
        <v>92</v>
      </c>
      <c r="N96" s="3" t="s">
        <v>409</v>
      </c>
    </row>
    <row r="97" customFormat="false" ht="15" hidden="false" customHeight="true" outlineLevel="0" collapsed="false">
      <c r="A97" s="3" t="s">
        <v>410</v>
      </c>
      <c r="B97" s="3" t="s">
        <v>80</v>
      </c>
      <c r="C97" s="3" t="s">
        <v>8</v>
      </c>
      <c r="D97" s="3" t="s">
        <v>101</v>
      </c>
      <c r="E97" s="3" t="s">
        <v>411</v>
      </c>
      <c r="F97" s="3" t="s">
        <v>412</v>
      </c>
      <c r="G97" s="3" t="s">
        <v>22</v>
      </c>
      <c r="H97" s="3" t="s">
        <v>2</v>
      </c>
      <c r="I97" s="3" t="s">
        <v>413</v>
      </c>
      <c r="J97" s="3"/>
      <c r="K97" s="3" t="s">
        <v>18</v>
      </c>
      <c r="L97" s="3" t="s">
        <v>414</v>
      </c>
      <c r="M97" s="3" t="s">
        <v>92</v>
      </c>
      <c r="N97" s="3" t="s">
        <v>415</v>
      </c>
    </row>
    <row r="98" customFormat="false" ht="15" hidden="false" customHeight="true" outlineLevel="0" collapsed="false">
      <c r="A98" s="3" t="s">
        <v>416</v>
      </c>
      <c r="B98" s="3" t="s">
        <v>80</v>
      </c>
      <c r="C98" s="3" t="s">
        <v>8</v>
      </c>
      <c r="D98" s="3" t="s">
        <v>417</v>
      </c>
      <c r="E98" s="3" t="s">
        <v>418</v>
      </c>
      <c r="F98" s="3" t="s">
        <v>419</v>
      </c>
      <c r="G98" s="3" t="s">
        <v>22</v>
      </c>
      <c r="H98" s="3" t="s">
        <v>2</v>
      </c>
      <c r="I98" s="3" t="s">
        <v>420</v>
      </c>
      <c r="J98" s="3"/>
      <c r="K98" s="3" t="s">
        <v>17</v>
      </c>
      <c r="L98" s="3" t="s">
        <v>421</v>
      </c>
      <c r="M98" s="3" t="s">
        <v>92</v>
      </c>
      <c r="N98" s="3" t="s">
        <v>422</v>
      </c>
    </row>
    <row r="99" customFormat="false" ht="15" hidden="false" customHeight="true" outlineLevel="0" collapsed="false">
      <c r="A99" s="3" t="s">
        <v>423</v>
      </c>
      <c r="B99" s="3" t="s">
        <v>80</v>
      </c>
      <c r="C99" s="3" t="s">
        <v>8</v>
      </c>
      <c r="D99" s="3" t="s">
        <v>424</v>
      </c>
      <c r="E99" s="3" t="s">
        <v>425</v>
      </c>
      <c r="F99" s="3" t="s">
        <v>426</v>
      </c>
      <c r="G99" s="3" t="s">
        <v>22</v>
      </c>
      <c r="H99" s="3" t="s">
        <v>2</v>
      </c>
      <c r="I99" s="3" t="s">
        <v>427</v>
      </c>
      <c r="J99" s="3"/>
      <c r="K99" s="3" t="s">
        <v>17</v>
      </c>
      <c r="L99" s="3" t="s">
        <v>428</v>
      </c>
      <c r="M99" s="3" t="s">
        <v>92</v>
      </c>
      <c r="N99" s="3"/>
    </row>
    <row r="100" customFormat="false" ht="15" hidden="false" customHeight="true" outlineLevel="0" collapsed="false">
      <c r="A100" s="3" t="s">
        <v>429</v>
      </c>
      <c r="B100" s="3" t="s">
        <v>80</v>
      </c>
      <c r="C100" s="3" t="s">
        <v>8</v>
      </c>
      <c r="D100" s="3" t="s">
        <v>53</v>
      </c>
      <c r="E100" s="3" t="s">
        <v>430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81</v>
      </c>
      <c r="M100" s="3"/>
      <c r="N100" s="3"/>
    </row>
    <row r="101" customFormat="false" ht="15" hidden="false" customHeight="true" outlineLevel="0" collapsed="false">
      <c r="A101" s="3" t="s">
        <v>431</v>
      </c>
      <c r="B101" s="3" t="s">
        <v>80</v>
      </c>
      <c r="C101" s="3" t="s">
        <v>8</v>
      </c>
      <c r="D101" s="3" t="s">
        <v>101</v>
      </c>
      <c r="E101" s="3" t="s">
        <v>432</v>
      </c>
      <c r="F101" s="3" t="s">
        <v>433</v>
      </c>
      <c r="G101" s="3" t="s">
        <v>22</v>
      </c>
      <c r="H101" s="3" t="s">
        <v>2</v>
      </c>
      <c r="I101" s="3" t="s">
        <v>392</v>
      </c>
      <c r="J101" s="3"/>
      <c r="K101" s="3" t="s">
        <v>18</v>
      </c>
      <c r="L101" s="3" t="s">
        <v>434</v>
      </c>
      <c r="M101" s="3" t="s">
        <v>92</v>
      </c>
      <c r="N101" s="3"/>
    </row>
    <row r="102" customFormat="false" ht="15" hidden="false" customHeight="true" outlineLevel="0" collapsed="false">
      <c r="A102" s="3" t="s">
        <v>435</v>
      </c>
      <c r="B102" s="3" t="s">
        <v>80</v>
      </c>
      <c r="C102" s="3" t="s">
        <v>8</v>
      </c>
      <c r="D102" s="3" t="s">
        <v>191</v>
      </c>
      <c r="E102" s="3" t="s">
        <v>436</v>
      </c>
      <c r="F102" s="3" t="s">
        <v>437</v>
      </c>
      <c r="G102" s="3" t="s">
        <v>22</v>
      </c>
      <c r="H102" s="3" t="s">
        <v>2</v>
      </c>
      <c r="I102" s="3" t="s">
        <v>392</v>
      </c>
      <c r="J102" s="3"/>
      <c r="K102" s="3" t="s">
        <v>17</v>
      </c>
      <c r="L102" s="3" t="s">
        <v>438</v>
      </c>
      <c r="M102" s="3" t="s">
        <v>92</v>
      </c>
      <c r="N102" s="3"/>
    </row>
    <row r="103" customFormat="false" ht="15" hidden="false" customHeight="true" outlineLevel="0" collapsed="false">
      <c r="A103" s="3" t="s">
        <v>439</v>
      </c>
      <c r="B103" s="3" t="s">
        <v>80</v>
      </c>
      <c r="C103" s="3" t="s">
        <v>8</v>
      </c>
      <c r="D103" s="3" t="s">
        <v>130</v>
      </c>
      <c r="E103" s="3" t="s">
        <v>440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81</v>
      </c>
      <c r="M103" s="3"/>
      <c r="N103" s="3"/>
    </row>
    <row r="104" customFormat="false" ht="15" hidden="false" customHeight="true" outlineLevel="0" collapsed="false">
      <c r="A104" s="3" t="s">
        <v>441</v>
      </c>
      <c r="B104" s="3" t="s">
        <v>80</v>
      </c>
      <c r="C104" s="3" t="s">
        <v>8</v>
      </c>
      <c r="D104" s="3" t="s">
        <v>442</v>
      </c>
      <c r="E104" s="3" t="s">
        <v>443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444</v>
      </c>
      <c r="M104" s="3"/>
      <c r="N104" s="3"/>
    </row>
    <row r="105" customFormat="false" ht="15" hidden="false" customHeight="true" outlineLevel="0" collapsed="false">
      <c r="A105" s="3" t="s">
        <v>445</v>
      </c>
      <c r="B105" s="3" t="s">
        <v>80</v>
      </c>
      <c r="C105" s="3" t="s">
        <v>8</v>
      </c>
      <c r="D105" s="3" t="s">
        <v>148</v>
      </c>
      <c r="E105" s="3" t="s">
        <v>446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81</v>
      </c>
      <c r="M105" s="3"/>
      <c r="N105" s="3"/>
    </row>
    <row r="106" customFormat="false" ht="15" hidden="false" customHeight="true" outlineLevel="0" collapsed="false">
      <c r="A106" s="3" t="s">
        <v>447</v>
      </c>
      <c r="B106" s="3" t="s">
        <v>80</v>
      </c>
      <c r="C106" s="3" t="s">
        <v>8</v>
      </c>
      <c r="D106" s="3" t="s">
        <v>448</v>
      </c>
      <c r="E106" s="3" t="s">
        <v>449</v>
      </c>
      <c r="F106" s="3" t="s">
        <v>450</v>
      </c>
      <c r="G106" s="3" t="s">
        <v>22</v>
      </c>
      <c r="H106" s="3" t="s">
        <v>2</v>
      </c>
      <c r="I106" s="3" t="s">
        <v>407</v>
      </c>
      <c r="J106" s="3"/>
      <c r="K106" s="3" t="s">
        <v>17</v>
      </c>
      <c r="L106" s="3" t="s">
        <v>451</v>
      </c>
      <c r="M106" s="3" t="s">
        <v>92</v>
      </c>
      <c r="N106" s="3" t="s">
        <v>452</v>
      </c>
    </row>
    <row r="107" customFormat="false" ht="15" hidden="false" customHeight="true" outlineLevel="0" collapsed="false">
      <c r="A107" s="3" t="s">
        <v>453</v>
      </c>
      <c r="B107" s="3" t="s">
        <v>80</v>
      </c>
      <c r="C107" s="3" t="s">
        <v>8</v>
      </c>
      <c r="D107" s="3" t="s">
        <v>454</v>
      </c>
      <c r="E107" s="3" t="s">
        <v>455</v>
      </c>
      <c r="F107" s="3" t="s">
        <v>456</v>
      </c>
      <c r="G107" s="3" t="s">
        <v>22</v>
      </c>
      <c r="H107" s="3" t="s">
        <v>2</v>
      </c>
      <c r="I107" s="3" t="s">
        <v>427</v>
      </c>
      <c r="J107" s="3"/>
      <c r="K107" s="3" t="s">
        <v>18</v>
      </c>
      <c r="L107" s="3" t="s">
        <v>457</v>
      </c>
      <c r="M107" s="3" t="s">
        <v>92</v>
      </c>
      <c r="N107" s="3" t="s">
        <v>458</v>
      </c>
    </row>
    <row r="108" customFormat="false" ht="15" hidden="false" customHeight="true" outlineLevel="0" collapsed="false">
      <c r="A108" s="3" t="s">
        <v>459</v>
      </c>
      <c r="B108" s="3" t="s">
        <v>80</v>
      </c>
      <c r="C108" s="3" t="s">
        <v>8</v>
      </c>
      <c r="D108" s="3" t="s">
        <v>460</v>
      </c>
      <c r="E108" s="3" t="s">
        <v>461</v>
      </c>
      <c r="F108" s="3" t="s">
        <v>462</v>
      </c>
      <c r="G108" s="3" t="s">
        <v>22</v>
      </c>
      <c r="H108" s="3" t="s">
        <v>2</v>
      </c>
      <c r="I108" s="3" t="s">
        <v>463</v>
      </c>
      <c r="J108" s="3"/>
      <c r="K108" s="3" t="s">
        <v>17</v>
      </c>
      <c r="L108" s="3" t="s">
        <v>464</v>
      </c>
      <c r="M108" s="3" t="s">
        <v>92</v>
      </c>
      <c r="N108" s="3" t="s">
        <v>465</v>
      </c>
    </row>
    <row r="109" customFormat="false" ht="15" hidden="false" customHeight="true" outlineLevel="0" collapsed="false">
      <c r="A109" s="3" t="s">
        <v>466</v>
      </c>
      <c r="B109" s="3" t="s">
        <v>80</v>
      </c>
      <c r="C109" s="3" t="s">
        <v>9</v>
      </c>
      <c r="D109" s="3" t="s">
        <v>53</v>
      </c>
      <c r="E109" s="3" t="s">
        <v>467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81</v>
      </c>
      <c r="M109" s="3"/>
      <c r="N109" s="3"/>
    </row>
    <row r="110" customFormat="false" ht="15" hidden="false" customHeight="true" outlineLevel="0" collapsed="false">
      <c r="A110" s="3" t="s">
        <v>468</v>
      </c>
      <c r="B110" s="3" t="s">
        <v>80</v>
      </c>
      <c r="C110" s="3" t="s">
        <v>9</v>
      </c>
      <c r="D110" s="3" t="s">
        <v>469</v>
      </c>
      <c r="E110" s="3" t="s">
        <v>470</v>
      </c>
      <c r="F110" s="3" t="s">
        <v>471</v>
      </c>
      <c r="G110" s="3" t="s">
        <v>22</v>
      </c>
      <c r="H110" s="3" t="s">
        <v>2</v>
      </c>
      <c r="I110" s="3" t="s">
        <v>472</v>
      </c>
      <c r="J110" s="3"/>
      <c r="K110" s="3" t="s">
        <v>18</v>
      </c>
      <c r="L110" s="3" t="s">
        <v>473</v>
      </c>
      <c r="M110" s="3" t="s">
        <v>92</v>
      </c>
      <c r="N110" s="3" t="s">
        <v>474</v>
      </c>
    </row>
    <row r="111" customFormat="false" ht="15" hidden="false" customHeight="true" outlineLevel="0" collapsed="false">
      <c r="A111" s="3" t="s">
        <v>475</v>
      </c>
      <c r="B111" s="3" t="s">
        <v>80</v>
      </c>
      <c r="C111" s="3" t="s">
        <v>9</v>
      </c>
      <c r="D111" s="3" t="s">
        <v>476</v>
      </c>
      <c r="E111" s="3" t="s">
        <v>477</v>
      </c>
      <c r="F111" s="3" t="s">
        <v>478</v>
      </c>
      <c r="G111" s="3" t="s">
        <v>22</v>
      </c>
      <c r="H111" s="3" t="s">
        <v>3</v>
      </c>
      <c r="I111" s="3" t="s">
        <v>479</v>
      </c>
      <c r="J111" s="3" t="s">
        <v>480</v>
      </c>
      <c r="K111" s="3" t="s">
        <v>18</v>
      </c>
      <c r="L111" s="3" t="s">
        <v>481</v>
      </c>
      <c r="M111" s="3" t="s">
        <v>92</v>
      </c>
      <c r="N111" s="3" t="s">
        <v>482</v>
      </c>
    </row>
    <row r="112" customFormat="false" ht="15" hidden="false" customHeight="true" outlineLevel="0" collapsed="false">
      <c r="A112" s="3" t="s">
        <v>483</v>
      </c>
      <c r="B112" s="3" t="s">
        <v>80</v>
      </c>
      <c r="C112" s="3" t="s">
        <v>9</v>
      </c>
      <c r="D112" s="3" t="s">
        <v>101</v>
      </c>
      <c r="E112" s="3" t="s">
        <v>484</v>
      </c>
      <c r="F112" s="3" t="s">
        <v>485</v>
      </c>
      <c r="G112" s="3" t="s">
        <v>22</v>
      </c>
      <c r="H112" s="3" t="s">
        <v>2</v>
      </c>
      <c r="I112" s="3" t="s">
        <v>486</v>
      </c>
      <c r="J112" s="3"/>
      <c r="K112" s="3" t="s">
        <v>18</v>
      </c>
      <c r="L112" s="3" t="s">
        <v>487</v>
      </c>
      <c r="M112" s="3" t="s">
        <v>92</v>
      </c>
      <c r="N112" s="3"/>
    </row>
    <row r="113" customFormat="false" ht="15" hidden="false" customHeight="true" outlineLevel="0" collapsed="false">
      <c r="A113" s="3" t="s">
        <v>488</v>
      </c>
      <c r="B113" s="3" t="s">
        <v>80</v>
      </c>
      <c r="C113" s="3" t="s">
        <v>9</v>
      </c>
      <c r="D113" s="3" t="s">
        <v>191</v>
      </c>
      <c r="E113" s="3" t="s">
        <v>489</v>
      </c>
      <c r="F113" s="3" t="s">
        <v>490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491</v>
      </c>
      <c r="M113" s="3" t="s">
        <v>92</v>
      </c>
      <c r="N113" s="3" t="s">
        <v>492</v>
      </c>
    </row>
    <row r="114" customFormat="false" ht="15" hidden="false" customHeight="true" outlineLevel="0" collapsed="false">
      <c r="A114" s="3" t="s">
        <v>493</v>
      </c>
      <c r="B114" s="3" t="s">
        <v>80</v>
      </c>
      <c r="C114" s="3" t="s">
        <v>9</v>
      </c>
      <c r="D114" s="3" t="s">
        <v>130</v>
      </c>
      <c r="E114" s="3" t="s">
        <v>494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81</v>
      </c>
      <c r="M114" s="3"/>
      <c r="N114" s="3"/>
    </row>
    <row r="115" customFormat="false" ht="15" hidden="false" customHeight="true" outlineLevel="0" collapsed="false">
      <c r="A115" s="3" t="s">
        <v>495</v>
      </c>
      <c r="B115" s="3" t="s">
        <v>80</v>
      </c>
      <c r="C115" s="3" t="s">
        <v>9</v>
      </c>
      <c r="D115" s="3" t="s">
        <v>496</v>
      </c>
      <c r="E115" s="3" t="s">
        <v>497</v>
      </c>
      <c r="F115" s="3" t="s">
        <v>498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499</v>
      </c>
      <c r="M115" s="3" t="s">
        <v>92</v>
      </c>
      <c r="N115" s="3" t="s">
        <v>492</v>
      </c>
    </row>
    <row r="116" customFormat="false" ht="15" hidden="false" customHeight="true" outlineLevel="0" collapsed="false">
      <c r="A116" s="3" t="s">
        <v>500</v>
      </c>
      <c r="B116" s="3" t="s">
        <v>80</v>
      </c>
      <c r="C116" s="3" t="s">
        <v>8</v>
      </c>
      <c r="D116" s="3" t="s">
        <v>501</v>
      </c>
      <c r="E116" s="3" t="s">
        <v>502</v>
      </c>
      <c r="F116" s="3" t="s">
        <v>503</v>
      </c>
      <c r="G116" s="3" t="s">
        <v>22</v>
      </c>
      <c r="H116" s="3" t="s">
        <v>2</v>
      </c>
      <c r="I116" s="3" t="s">
        <v>504</v>
      </c>
      <c r="J116" s="3"/>
      <c r="K116" s="3" t="s">
        <v>17</v>
      </c>
      <c r="L116" s="3" t="s">
        <v>505</v>
      </c>
      <c r="M116" s="3" t="s">
        <v>92</v>
      </c>
      <c r="N116" s="3" t="s">
        <v>506</v>
      </c>
    </row>
    <row r="117" customFormat="false" ht="15" hidden="false" customHeight="true" outlineLevel="0" collapsed="false">
      <c r="A117" s="3" t="s">
        <v>507</v>
      </c>
      <c r="B117" s="3" t="s">
        <v>80</v>
      </c>
      <c r="C117" s="3" t="s">
        <v>8</v>
      </c>
      <c r="D117" s="3" t="s">
        <v>508</v>
      </c>
      <c r="E117" s="3" t="s">
        <v>509</v>
      </c>
      <c r="F117" s="3" t="s">
        <v>510</v>
      </c>
      <c r="G117" s="3" t="s">
        <v>22</v>
      </c>
      <c r="H117" s="3" t="s">
        <v>2</v>
      </c>
      <c r="I117" s="3" t="s">
        <v>511</v>
      </c>
      <c r="J117" s="3"/>
      <c r="K117" s="3" t="s">
        <v>18</v>
      </c>
      <c r="L117" s="3" t="s">
        <v>512</v>
      </c>
      <c r="M117" s="3" t="s">
        <v>92</v>
      </c>
      <c r="N117" s="3" t="s">
        <v>513</v>
      </c>
    </row>
    <row r="118" customFormat="false" ht="15" hidden="false" customHeight="true" outlineLevel="0" collapsed="false">
      <c r="A118" s="3" t="s">
        <v>514</v>
      </c>
      <c r="B118" s="3" t="s">
        <v>80</v>
      </c>
      <c r="C118" s="3" t="s">
        <v>8</v>
      </c>
      <c r="D118" s="3" t="s">
        <v>515</v>
      </c>
      <c r="E118" s="3" t="s">
        <v>516</v>
      </c>
      <c r="F118" s="3" t="s">
        <v>517</v>
      </c>
      <c r="G118" s="3" t="s">
        <v>22</v>
      </c>
      <c r="H118" s="3" t="s">
        <v>2</v>
      </c>
      <c r="I118" s="3" t="s">
        <v>518</v>
      </c>
      <c r="J118" s="3"/>
      <c r="K118" s="3" t="s">
        <v>18</v>
      </c>
      <c r="L118" s="3" t="s">
        <v>519</v>
      </c>
      <c r="M118" s="3" t="s">
        <v>92</v>
      </c>
      <c r="N118" s="3" t="s">
        <v>520</v>
      </c>
    </row>
    <row r="119" customFormat="false" ht="15" hidden="false" customHeight="true" outlineLevel="0" collapsed="false">
      <c r="A119" s="3" t="s">
        <v>521</v>
      </c>
      <c r="B119" s="3" t="s">
        <v>80</v>
      </c>
      <c r="C119" s="3" t="s">
        <v>8</v>
      </c>
      <c r="D119" s="3" t="s">
        <v>101</v>
      </c>
      <c r="E119" s="3" t="s">
        <v>522</v>
      </c>
      <c r="F119" s="3" t="s">
        <v>523</v>
      </c>
      <c r="G119" s="3" t="s">
        <v>22</v>
      </c>
      <c r="H119" s="3" t="s">
        <v>2</v>
      </c>
      <c r="I119" s="3" t="s">
        <v>524</v>
      </c>
      <c r="J119" s="3"/>
      <c r="K119" s="3" t="s">
        <v>18</v>
      </c>
      <c r="L119" s="3" t="s">
        <v>525</v>
      </c>
      <c r="M119" s="3" t="s">
        <v>92</v>
      </c>
      <c r="N119" s="3" t="s">
        <v>526</v>
      </c>
    </row>
    <row r="120" customFormat="false" ht="15" hidden="false" customHeight="true" outlineLevel="0" collapsed="false">
      <c r="A120" s="3" t="s">
        <v>527</v>
      </c>
      <c r="B120" s="3" t="s">
        <v>80</v>
      </c>
      <c r="C120" s="3" t="s">
        <v>8</v>
      </c>
      <c r="D120" s="3" t="s">
        <v>528</v>
      </c>
      <c r="E120" s="3" t="s">
        <v>529</v>
      </c>
      <c r="F120" s="3" t="s">
        <v>530</v>
      </c>
      <c r="G120" s="3" t="s">
        <v>22</v>
      </c>
      <c r="H120" s="3" t="s">
        <v>2</v>
      </c>
      <c r="I120" s="3" t="s">
        <v>518</v>
      </c>
      <c r="J120" s="3"/>
      <c r="K120" s="3" t="s">
        <v>18</v>
      </c>
      <c r="L120" s="3" t="s">
        <v>531</v>
      </c>
      <c r="M120" s="3" t="s">
        <v>92</v>
      </c>
      <c r="N120" s="3" t="s">
        <v>409</v>
      </c>
    </row>
    <row r="121" customFormat="false" ht="15" hidden="false" customHeight="true" outlineLevel="0" collapsed="false">
      <c r="A121" s="3" t="s">
        <v>532</v>
      </c>
      <c r="B121" s="3" t="s">
        <v>80</v>
      </c>
      <c r="C121" s="3" t="s">
        <v>9</v>
      </c>
      <c r="D121" s="3" t="s">
        <v>533</v>
      </c>
      <c r="E121" s="3" t="s">
        <v>534</v>
      </c>
      <c r="F121" s="3" t="s">
        <v>535</v>
      </c>
      <c r="G121" s="3" t="s">
        <v>22</v>
      </c>
      <c r="H121" s="3" t="s">
        <v>2</v>
      </c>
      <c r="I121" s="3" t="s">
        <v>536</v>
      </c>
      <c r="J121" s="3"/>
      <c r="K121" s="3" t="s">
        <v>18</v>
      </c>
      <c r="L121" s="3" t="s">
        <v>537</v>
      </c>
      <c r="M121" s="3" t="s">
        <v>92</v>
      </c>
      <c r="N121" s="3" t="s">
        <v>538</v>
      </c>
    </row>
    <row r="122" customFormat="false" ht="15" hidden="false" customHeight="true" outlineLevel="0" collapsed="false">
      <c r="A122" s="3" t="s">
        <v>539</v>
      </c>
      <c r="B122" s="3" t="s">
        <v>80</v>
      </c>
      <c r="C122" s="3" t="s">
        <v>8</v>
      </c>
      <c r="D122" s="3" t="s">
        <v>540</v>
      </c>
      <c r="E122" s="3" t="s">
        <v>541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542</v>
      </c>
      <c r="M122" s="3" t="s">
        <v>92</v>
      </c>
      <c r="N122" s="3"/>
    </row>
    <row r="123" customFormat="false" ht="15" hidden="false" customHeight="true" outlineLevel="0" collapsed="false">
      <c r="A123" s="3" t="s">
        <v>543</v>
      </c>
      <c r="B123" s="3" t="s">
        <v>80</v>
      </c>
      <c r="C123" s="3" t="s">
        <v>8</v>
      </c>
      <c r="D123" s="3" t="s">
        <v>544</v>
      </c>
      <c r="E123" s="3" t="s">
        <v>545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542</v>
      </c>
      <c r="M123" s="3" t="s">
        <v>92</v>
      </c>
      <c r="N123" s="3"/>
    </row>
    <row r="124" customFormat="false" ht="15" hidden="false" customHeight="true" outlineLevel="0" collapsed="false">
      <c r="A124" s="3" t="s">
        <v>546</v>
      </c>
      <c r="B124" s="3" t="s">
        <v>80</v>
      </c>
      <c r="C124" s="3" t="s">
        <v>8</v>
      </c>
      <c r="D124" s="3" t="s">
        <v>547</v>
      </c>
      <c r="E124" s="3" t="s">
        <v>548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542</v>
      </c>
      <c r="M124" s="3" t="s">
        <v>92</v>
      </c>
      <c r="N124" s="3"/>
    </row>
    <row r="125" customFormat="false" ht="15" hidden="false" customHeight="true" outlineLevel="0" collapsed="false">
      <c r="A125" s="3" t="s">
        <v>549</v>
      </c>
      <c r="B125" s="3" t="s">
        <v>80</v>
      </c>
      <c r="C125" s="3" t="s">
        <v>8</v>
      </c>
      <c r="D125" s="3" t="s">
        <v>550</v>
      </c>
      <c r="E125" s="3" t="s">
        <v>551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542</v>
      </c>
      <c r="M125" s="3" t="s">
        <v>92</v>
      </c>
      <c r="N125" s="3"/>
    </row>
    <row r="126" customFormat="false" ht="15" hidden="false" customHeight="true" outlineLevel="0" collapsed="false">
      <c r="A126" s="3" t="s">
        <v>552</v>
      </c>
      <c r="B126" s="3" t="s">
        <v>80</v>
      </c>
      <c r="C126" s="3" t="s">
        <v>8</v>
      </c>
      <c r="D126" s="3" t="s">
        <v>553</v>
      </c>
      <c r="E126" s="3" t="s">
        <v>554</v>
      </c>
      <c r="F126" s="3" t="s">
        <v>555</v>
      </c>
      <c r="G126" s="3" t="s">
        <v>22</v>
      </c>
      <c r="H126" s="3" t="s">
        <v>2</v>
      </c>
      <c r="I126" s="3" t="s">
        <v>518</v>
      </c>
      <c r="J126" s="3"/>
      <c r="K126" s="3" t="s">
        <v>18</v>
      </c>
      <c r="L126" s="3" t="s">
        <v>556</v>
      </c>
      <c r="M126" s="3" t="s">
        <v>92</v>
      </c>
      <c r="N126" s="3" t="s">
        <v>409</v>
      </c>
    </row>
    <row r="127" customFormat="false" ht="15" hidden="false" customHeight="true" outlineLevel="0" collapsed="false">
      <c r="A127" s="3" t="s">
        <v>557</v>
      </c>
      <c r="B127" s="3" t="s">
        <v>80</v>
      </c>
      <c r="C127" s="3" t="s">
        <v>8</v>
      </c>
      <c r="D127" s="3" t="s">
        <v>558</v>
      </c>
      <c r="E127" s="3" t="s">
        <v>559</v>
      </c>
      <c r="F127" s="3" t="s">
        <v>560</v>
      </c>
      <c r="G127" s="3" t="s">
        <v>22</v>
      </c>
      <c r="H127" s="3" t="s">
        <v>2</v>
      </c>
      <c r="I127" s="3" t="s">
        <v>561</v>
      </c>
      <c r="J127" s="3"/>
      <c r="K127" s="3" t="s">
        <v>18</v>
      </c>
      <c r="L127" s="3" t="s">
        <v>562</v>
      </c>
      <c r="M127" s="3" t="s">
        <v>92</v>
      </c>
      <c r="N127" s="3" t="s">
        <v>409</v>
      </c>
    </row>
    <row r="128" customFormat="false" ht="15" hidden="false" customHeight="true" outlineLevel="0" collapsed="false">
      <c r="A128" s="3" t="s">
        <v>563</v>
      </c>
      <c r="B128" s="3" t="s">
        <v>80</v>
      </c>
      <c r="C128" s="3" t="s">
        <v>8</v>
      </c>
      <c r="D128" s="3" t="s">
        <v>564</v>
      </c>
      <c r="E128" s="3" t="s">
        <v>565</v>
      </c>
      <c r="F128" s="3" t="s">
        <v>566</v>
      </c>
      <c r="G128" s="3" t="s">
        <v>22</v>
      </c>
      <c r="H128" s="3" t="s">
        <v>2</v>
      </c>
      <c r="I128" s="3" t="s">
        <v>567</v>
      </c>
      <c r="J128" s="3"/>
      <c r="K128" s="3" t="s">
        <v>19</v>
      </c>
      <c r="L128" s="3" t="s">
        <v>568</v>
      </c>
      <c r="M128" s="3" t="s">
        <v>92</v>
      </c>
      <c r="N128" s="3" t="s">
        <v>409</v>
      </c>
    </row>
    <row r="129" customFormat="false" ht="15" hidden="false" customHeight="true" outlineLevel="0" collapsed="false">
      <c r="A129" s="3" t="s">
        <v>569</v>
      </c>
      <c r="B129" s="3" t="s">
        <v>80</v>
      </c>
      <c r="C129" s="3" t="s">
        <v>8</v>
      </c>
      <c r="D129" s="3" t="s">
        <v>570</v>
      </c>
      <c r="E129" s="3" t="s">
        <v>571</v>
      </c>
      <c r="F129" s="3" t="s">
        <v>572</v>
      </c>
      <c r="G129" s="3" t="s">
        <v>22</v>
      </c>
      <c r="H129" s="3" t="s">
        <v>2</v>
      </c>
      <c r="I129" s="3" t="s">
        <v>573</v>
      </c>
      <c r="J129" s="3"/>
      <c r="K129" s="3" t="s">
        <v>17</v>
      </c>
      <c r="L129" s="3" t="s">
        <v>574</v>
      </c>
      <c r="M129" s="3" t="s">
        <v>92</v>
      </c>
      <c r="N129" s="3" t="s">
        <v>575</v>
      </c>
    </row>
    <row r="130" customFormat="false" ht="15" hidden="false" customHeight="true" outlineLevel="0" collapsed="false">
      <c r="A130" s="3" t="s">
        <v>576</v>
      </c>
      <c r="B130" s="3" t="s">
        <v>80</v>
      </c>
      <c r="C130" s="3" t="s">
        <v>8</v>
      </c>
      <c r="D130" s="3" t="s">
        <v>577</v>
      </c>
      <c r="E130" s="3" t="s">
        <v>578</v>
      </c>
      <c r="F130" s="3" t="s">
        <v>579</v>
      </c>
      <c r="G130" s="3" t="s">
        <v>22</v>
      </c>
      <c r="H130" s="3" t="s">
        <v>2</v>
      </c>
      <c r="I130" s="3" t="s">
        <v>580</v>
      </c>
      <c r="J130" s="3"/>
      <c r="K130" s="3" t="s">
        <v>18</v>
      </c>
      <c r="L130" s="3" t="s">
        <v>581</v>
      </c>
      <c r="M130" s="3" t="s">
        <v>92</v>
      </c>
      <c r="N130" s="3" t="s">
        <v>582</v>
      </c>
    </row>
    <row r="131" customFormat="false" ht="15" hidden="false" customHeight="true" outlineLevel="0" collapsed="false">
      <c r="A131" s="3" t="s">
        <v>583</v>
      </c>
      <c r="B131" s="3" t="s">
        <v>80</v>
      </c>
      <c r="C131" s="3" t="s">
        <v>8</v>
      </c>
      <c r="D131" s="3" t="s">
        <v>584</v>
      </c>
      <c r="E131" s="3" t="s">
        <v>585</v>
      </c>
      <c r="F131" s="3" t="s">
        <v>586</v>
      </c>
      <c r="G131" s="3" t="s">
        <v>22</v>
      </c>
      <c r="H131" s="3" t="s">
        <v>2</v>
      </c>
      <c r="I131" s="3" t="s">
        <v>587</v>
      </c>
      <c r="J131" s="3"/>
      <c r="K131" s="3" t="s">
        <v>19</v>
      </c>
      <c r="L131" s="3" t="s">
        <v>568</v>
      </c>
      <c r="M131" s="3" t="s">
        <v>92</v>
      </c>
      <c r="N131" s="3" t="s">
        <v>588</v>
      </c>
    </row>
    <row r="132" customFormat="false" ht="15" hidden="false" customHeight="true" outlineLevel="0" collapsed="false">
      <c r="A132" s="3" t="s">
        <v>589</v>
      </c>
      <c r="B132" s="3" t="s">
        <v>80</v>
      </c>
      <c r="C132" s="3" t="s">
        <v>8</v>
      </c>
      <c r="D132" s="3" t="s">
        <v>590</v>
      </c>
      <c r="E132" s="3" t="s">
        <v>591</v>
      </c>
      <c r="F132" s="3" t="s">
        <v>592</v>
      </c>
      <c r="G132" s="3" t="s">
        <v>22</v>
      </c>
      <c r="H132" s="3" t="s">
        <v>2</v>
      </c>
      <c r="I132" s="3" t="s">
        <v>587</v>
      </c>
      <c r="J132" s="3"/>
      <c r="K132" s="3" t="s">
        <v>18</v>
      </c>
      <c r="L132" s="3" t="s">
        <v>593</v>
      </c>
      <c r="M132" s="3" t="s">
        <v>92</v>
      </c>
      <c r="N132" s="3" t="s">
        <v>594</v>
      </c>
    </row>
    <row r="133" customFormat="false" ht="15" hidden="false" customHeight="true" outlineLevel="0" collapsed="false">
      <c r="A133" s="3" t="s">
        <v>595</v>
      </c>
      <c r="B133" s="3" t="s">
        <v>80</v>
      </c>
      <c r="C133" s="3" t="s">
        <v>9</v>
      </c>
      <c r="D133" s="3" t="s">
        <v>596</v>
      </c>
      <c r="E133" s="3" t="s">
        <v>597</v>
      </c>
      <c r="F133" s="3" t="s">
        <v>598</v>
      </c>
      <c r="G133" s="3" t="s">
        <v>22</v>
      </c>
      <c r="H133" s="3" t="s">
        <v>2</v>
      </c>
      <c r="I133" s="3" t="s">
        <v>599</v>
      </c>
      <c r="J133" s="3"/>
      <c r="K133" s="3" t="s">
        <v>17</v>
      </c>
      <c r="L133" s="3" t="s">
        <v>600</v>
      </c>
      <c r="M133" s="3" t="s">
        <v>92</v>
      </c>
      <c r="N133" s="3" t="s">
        <v>409</v>
      </c>
    </row>
    <row r="134" customFormat="false" ht="15" hidden="false" customHeight="true" outlineLevel="0" collapsed="false">
      <c r="A134" s="3" t="s">
        <v>601</v>
      </c>
      <c r="B134" s="3" t="s">
        <v>80</v>
      </c>
      <c r="C134" s="3" t="s">
        <v>9</v>
      </c>
      <c r="D134" s="3" t="s">
        <v>602</v>
      </c>
      <c r="E134" s="3" t="s">
        <v>603</v>
      </c>
      <c r="F134" s="3" t="s">
        <v>604</v>
      </c>
      <c r="G134" s="3" t="s">
        <v>22</v>
      </c>
      <c r="H134" s="3" t="s">
        <v>2</v>
      </c>
      <c r="I134" s="3" t="s">
        <v>605</v>
      </c>
      <c r="J134" s="3"/>
      <c r="K134" s="3" t="s">
        <v>19</v>
      </c>
      <c r="L134" s="3" t="s">
        <v>568</v>
      </c>
      <c r="M134" s="3" t="s">
        <v>92</v>
      </c>
      <c r="N134" s="3" t="s">
        <v>606</v>
      </c>
    </row>
    <row r="135" customFormat="false" ht="15" hidden="false" customHeight="true" outlineLevel="0" collapsed="false">
      <c r="A135" s="3" t="s">
        <v>607</v>
      </c>
      <c r="B135" s="3" t="s">
        <v>80</v>
      </c>
      <c r="C135" s="3" t="s">
        <v>8</v>
      </c>
      <c r="D135" s="3" t="s">
        <v>130</v>
      </c>
      <c r="E135" s="3" t="s">
        <v>608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81</v>
      </c>
      <c r="M135" s="3"/>
      <c r="N135" s="3"/>
    </row>
    <row r="136" customFormat="false" ht="15" hidden="false" customHeight="true" outlineLevel="0" collapsed="false">
      <c r="A136" s="3" t="s">
        <v>609</v>
      </c>
      <c r="B136" s="3" t="s">
        <v>80</v>
      </c>
      <c r="C136" s="3" t="s">
        <v>8</v>
      </c>
      <c r="D136" s="3" t="s">
        <v>148</v>
      </c>
      <c r="E136" s="3" t="s">
        <v>610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81</v>
      </c>
      <c r="M136" s="3"/>
      <c r="N136" s="3"/>
    </row>
    <row r="137" customFormat="false" ht="15" hidden="false" customHeight="true" outlineLevel="0" collapsed="false">
      <c r="A137" s="3" t="s">
        <v>611</v>
      </c>
      <c r="B137" s="3" t="s">
        <v>80</v>
      </c>
      <c r="C137" s="3" t="s">
        <v>10</v>
      </c>
      <c r="D137" s="3" t="s">
        <v>612</v>
      </c>
      <c r="E137" s="3" t="s">
        <v>613</v>
      </c>
      <c r="F137" s="3" t="s">
        <v>614</v>
      </c>
      <c r="G137" s="3" t="s">
        <v>22</v>
      </c>
      <c r="H137" s="3" t="s">
        <v>3</v>
      </c>
      <c r="I137" s="3" t="s">
        <v>615</v>
      </c>
      <c r="J137" s="3" t="s">
        <v>616</v>
      </c>
      <c r="K137" s="3" t="s">
        <v>19</v>
      </c>
      <c r="L137" s="3" t="s">
        <v>617</v>
      </c>
      <c r="M137" s="3" t="s">
        <v>109</v>
      </c>
      <c r="N137" s="3" t="s">
        <v>618</v>
      </c>
    </row>
    <row r="138" customFormat="false" ht="15" hidden="false" customHeight="true" outlineLevel="0" collapsed="false">
      <c r="A138" s="3" t="s">
        <v>619</v>
      </c>
      <c r="B138" s="3" t="s">
        <v>80</v>
      </c>
      <c r="C138" s="3" t="s">
        <v>8</v>
      </c>
      <c r="D138" s="3" t="s">
        <v>101</v>
      </c>
      <c r="E138" s="3" t="s">
        <v>620</v>
      </c>
      <c r="F138" s="3" t="s">
        <v>621</v>
      </c>
      <c r="G138" s="3" t="s">
        <v>22</v>
      </c>
      <c r="H138" s="3" t="s">
        <v>6</v>
      </c>
      <c r="I138" s="3"/>
      <c r="J138" s="3" t="s">
        <v>622</v>
      </c>
      <c r="K138" s="3" t="s">
        <v>17</v>
      </c>
      <c r="L138" s="3" t="s">
        <v>623</v>
      </c>
      <c r="M138" s="3" t="s">
        <v>92</v>
      </c>
      <c r="N138" s="3" t="s">
        <v>624</v>
      </c>
    </row>
    <row r="139" customFormat="false" ht="15" hidden="false" customHeight="true" outlineLevel="0" collapsed="false">
      <c r="A139" s="3" t="s">
        <v>625</v>
      </c>
      <c r="B139" s="3" t="s">
        <v>80</v>
      </c>
      <c r="C139" s="3" t="s">
        <v>10</v>
      </c>
      <c r="D139" s="3" t="s">
        <v>54</v>
      </c>
      <c r="E139" s="3" t="s">
        <v>626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81</v>
      </c>
      <c r="M139" s="3"/>
      <c r="N139" s="3" t="s">
        <v>627</v>
      </c>
    </row>
    <row r="140" customFormat="false" ht="15" hidden="false" customHeight="true" outlineLevel="0" collapsed="false">
      <c r="A140" s="3" t="s">
        <v>628</v>
      </c>
      <c r="B140" s="3" t="s">
        <v>80</v>
      </c>
      <c r="C140" s="3" t="s">
        <v>10</v>
      </c>
      <c r="D140" s="3" t="s">
        <v>101</v>
      </c>
      <c r="E140" s="3" t="s">
        <v>629</v>
      </c>
      <c r="F140" s="3" t="s">
        <v>630</v>
      </c>
      <c r="G140" s="3" t="s">
        <v>22</v>
      </c>
      <c r="H140" s="3" t="s">
        <v>2</v>
      </c>
      <c r="I140" s="3" t="s">
        <v>631</v>
      </c>
      <c r="J140" s="3"/>
      <c r="K140" s="3" t="s">
        <v>18</v>
      </c>
      <c r="L140" s="3" t="s">
        <v>632</v>
      </c>
      <c r="M140" s="3" t="s">
        <v>92</v>
      </c>
      <c r="N140" s="3"/>
    </row>
    <row r="141" customFormat="false" ht="15" hidden="false" customHeight="true" outlineLevel="0" collapsed="false">
      <c r="A141" s="3" t="s">
        <v>633</v>
      </c>
      <c r="B141" s="3" t="s">
        <v>80</v>
      </c>
      <c r="C141" s="3" t="s">
        <v>10</v>
      </c>
      <c r="D141" s="3" t="s">
        <v>634</v>
      </c>
      <c r="E141" s="3" t="s">
        <v>635</v>
      </c>
      <c r="F141" s="3" t="s">
        <v>636</v>
      </c>
      <c r="G141" s="3" t="s">
        <v>22</v>
      </c>
      <c r="H141" s="3" t="s">
        <v>2</v>
      </c>
      <c r="I141" s="3" t="s">
        <v>637</v>
      </c>
      <c r="J141" s="3"/>
      <c r="K141" s="3" t="s">
        <v>17</v>
      </c>
      <c r="L141" s="3" t="s">
        <v>638</v>
      </c>
      <c r="M141" s="3" t="s">
        <v>92</v>
      </c>
      <c r="N141" s="3"/>
    </row>
    <row r="142" customFormat="false" ht="15" hidden="false" customHeight="true" outlineLevel="0" collapsed="false">
      <c r="A142" s="3" t="s">
        <v>639</v>
      </c>
      <c r="B142" s="3" t="s">
        <v>80</v>
      </c>
      <c r="C142" s="3" t="s">
        <v>10</v>
      </c>
      <c r="D142" s="3" t="s">
        <v>640</v>
      </c>
      <c r="E142" s="3" t="s">
        <v>641</v>
      </c>
      <c r="F142" s="3" t="s">
        <v>642</v>
      </c>
      <c r="G142" s="3" t="s">
        <v>22</v>
      </c>
      <c r="H142" s="3" t="s">
        <v>2</v>
      </c>
      <c r="I142" s="3" t="s">
        <v>643</v>
      </c>
      <c r="J142" s="3"/>
      <c r="K142" s="3" t="s">
        <v>17</v>
      </c>
      <c r="L142" s="3" t="s">
        <v>644</v>
      </c>
      <c r="M142" s="3" t="s">
        <v>92</v>
      </c>
      <c r="N142" s="3" t="s">
        <v>645</v>
      </c>
    </row>
    <row r="143" customFormat="false" ht="15" hidden="false" customHeight="true" outlineLevel="0" collapsed="false">
      <c r="A143" s="3" t="s">
        <v>646</v>
      </c>
      <c r="B143" s="3" t="s">
        <v>80</v>
      </c>
      <c r="C143" s="3" t="s">
        <v>9</v>
      </c>
      <c r="D143" s="3" t="s">
        <v>647</v>
      </c>
      <c r="E143" s="3" t="s">
        <v>648</v>
      </c>
      <c r="F143" s="3" t="s">
        <v>649</v>
      </c>
      <c r="G143" s="3" t="s">
        <v>22</v>
      </c>
      <c r="H143" s="3" t="s">
        <v>2</v>
      </c>
      <c r="I143" s="3" t="s">
        <v>650</v>
      </c>
      <c r="J143" s="3"/>
      <c r="K143" s="3" t="s">
        <v>18</v>
      </c>
      <c r="L143" s="3" t="s">
        <v>651</v>
      </c>
      <c r="M143" s="3" t="s">
        <v>92</v>
      </c>
      <c r="N143" s="3" t="s">
        <v>652</v>
      </c>
    </row>
    <row r="144" customFormat="false" ht="15" hidden="false" customHeight="true" outlineLevel="0" collapsed="false">
      <c r="A144" s="3" t="s">
        <v>653</v>
      </c>
      <c r="B144" s="3" t="s">
        <v>80</v>
      </c>
      <c r="C144" s="3" t="s">
        <v>10</v>
      </c>
      <c r="D144" s="3" t="s">
        <v>654</v>
      </c>
      <c r="E144" s="3" t="s">
        <v>655</v>
      </c>
      <c r="F144" s="3" t="s">
        <v>656</v>
      </c>
      <c r="G144" s="3" t="s">
        <v>22</v>
      </c>
      <c r="H144" s="3" t="s">
        <v>2</v>
      </c>
      <c r="I144" s="3" t="s">
        <v>657</v>
      </c>
      <c r="J144" s="3"/>
      <c r="K144" s="3" t="s">
        <v>17</v>
      </c>
      <c r="L144" s="3" t="s">
        <v>658</v>
      </c>
      <c r="M144" s="3" t="s">
        <v>92</v>
      </c>
      <c r="N144" s="3" t="s">
        <v>659</v>
      </c>
    </row>
    <row r="145" customFormat="false" ht="15" hidden="false" customHeight="true" outlineLevel="0" collapsed="false">
      <c r="A145" s="3" t="s">
        <v>660</v>
      </c>
      <c r="B145" s="3" t="s">
        <v>80</v>
      </c>
      <c r="C145" s="3" t="s">
        <v>10</v>
      </c>
      <c r="D145" s="3" t="s">
        <v>661</v>
      </c>
      <c r="E145" s="3" t="s">
        <v>662</v>
      </c>
      <c r="F145" s="3" t="s">
        <v>663</v>
      </c>
      <c r="G145" s="3" t="s">
        <v>22</v>
      </c>
      <c r="H145" s="3" t="s">
        <v>2</v>
      </c>
      <c r="I145" s="3" t="s">
        <v>664</v>
      </c>
      <c r="J145" s="3"/>
      <c r="K145" s="3" t="s">
        <v>18</v>
      </c>
      <c r="L145" s="3" t="s">
        <v>665</v>
      </c>
      <c r="M145" s="3" t="s">
        <v>92</v>
      </c>
      <c r="N145" s="3" t="s">
        <v>666</v>
      </c>
    </row>
    <row r="146" customFormat="false" ht="15" hidden="false" customHeight="true" outlineLevel="0" collapsed="false">
      <c r="A146" s="3" t="s">
        <v>667</v>
      </c>
      <c r="B146" s="3" t="s">
        <v>80</v>
      </c>
      <c r="C146" s="3" t="s">
        <v>10</v>
      </c>
      <c r="D146" s="3" t="s">
        <v>668</v>
      </c>
      <c r="E146" s="3" t="s">
        <v>669</v>
      </c>
      <c r="F146" s="3" t="s">
        <v>670</v>
      </c>
      <c r="G146" s="3" t="s">
        <v>22</v>
      </c>
      <c r="H146" s="3" t="s">
        <v>2</v>
      </c>
      <c r="I146" s="3" t="s">
        <v>671</v>
      </c>
      <c r="J146" s="3"/>
      <c r="K146" s="3" t="s">
        <v>18</v>
      </c>
      <c r="L146" s="3" t="s">
        <v>672</v>
      </c>
      <c r="M146" s="3" t="s">
        <v>92</v>
      </c>
      <c r="N146" s="3" t="s">
        <v>673</v>
      </c>
    </row>
    <row r="147" customFormat="false" ht="15" hidden="false" customHeight="true" outlineLevel="0" collapsed="false">
      <c r="A147" s="3" t="s">
        <v>674</v>
      </c>
      <c r="B147" s="3" t="s">
        <v>80</v>
      </c>
      <c r="C147" s="3" t="s">
        <v>10</v>
      </c>
      <c r="D147" s="3" t="s">
        <v>675</v>
      </c>
      <c r="E147" s="3" t="s">
        <v>676</v>
      </c>
      <c r="F147" s="3" t="s">
        <v>677</v>
      </c>
      <c r="G147" s="3" t="s">
        <v>22</v>
      </c>
      <c r="H147" s="3" t="s">
        <v>2</v>
      </c>
      <c r="I147" s="3" t="s">
        <v>678</v>
      </c>
      <c r="J147" s="3"/>
      <c r="K147" s="3" t="s">
        <v>18</v>
      </c>
      <c r="L147" s="3" t="s">
        <v>679</v>
      </c>
      <c r="M147" s="3" t="s">
        <v>92</v>
      </c>
      <c r="N147" s="3" t="s">
        <v>680</v>
      </c>
    </row>
    <row r="148" customFormat="false" ht="15" hidden="false" customHeight="true" outlineLevel="0" collapsed="false">
      <c r="A148" s="3" t="s">
        <v>681</v>
      </c>
      <c r="B148" s="3" t="s">
        <v>80</v>
      </c>
      <c r="C148" s="3" t="s">
        <v>10</v>
      </c>
      <c r="D148" s="3" t="s">
        <v>682</v>
      </c>
      <c r="E148" s="3" t="s">
        <v>683</v>
      </c>
      <c r="F148" s="3" t="s">
        <v>684</v>
      </c>
      <c r="G148" s="3" t="s">
        <v>22</v>
      </c>
      <c r="H148" s="3" t="s">
        <v>2</v>
      </c>
      <c r="I148" s="3" t="s">
        <v>685</v>
      </c>
      <c r="J148" s="3"/>
      <c r="K148" s="3" t="s">
        <v>19</v>
      </c>
      <c r="L148" s="3" t="s">
        <v>686</v>
      </c>
      <c r="M148" s="3" t="s">
        <v>92</v>
      </c>
      <c r="N148" s="3" t="s">
        <v>687</v>
      </c>
    </row>
    <row r="149" customFormat="false" ht="15" hidden="false" customHeight="true" outlineLevel="0" collapsed="false">
      <c r="A149" s="3" t="s">
        <v>688</v>
      </c>
      <c r="B149" s="3" t="s">
        <v>80</v>
      </c>
      <c r="C149" s="3" t="s">
        <v>10</v>
      </c>
      <c r="D149" s="3" t="s">
        <v>130</v>
      </c>
      <c r="E149" s="3" t="s">
        <v>689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81</v>
      </c>
      <c r="M149" s="3"/>
      <c r="N149" s="3" t="s">
        <v>627</v>
      </c>
    </row>
    <row r="150" customFormat="false" ht="15" hidden="false" customHeight="true" outlineLevel="0" collapsed="false">
      <c r="A150" s="3" t="s">
        <v>690</v>
      </c>
      <c r="B150" s="3" t="s">
        <v>80</v>
      </c>
      <c r="C150" s="3" t="s">
        <v>10</v>
      </c>
      <c r="D150" s="3" t="s">
        <v>101</v>
      </c>
      <c r="E150" s="3" t="s">
        <v>691</v>
      </c>
      <c r="F150" s="3" t="s">
        <v>692</v>
      </c>
      <c r="G150" s="3" t="s">
        <v>22</v>
      </c>
      <c r="H150" s="3" t="s">
        <v>2</v>
      </c>
      <c r="I150" s="3" t="s">
        <v>693</v>
      </c>
      <c r="J150" s="3"/>
      <c r="K150" s="3" t="s">
        <v>17</v>
      </c>
      <c r="L150" s="3" t="s">
        <v>694</v>
      </c>
      <c r="M150" s="3" t="s">
        <v>92</v>
      </c>
      <c r="N150" s="3"/>
    </row>
    <row r="151" customFormat="false" ht="15" hidden="false" customHeight="true" outlineLevel="0" collapsed="false">
      <c r="A151" s="3" t="s">
        <v>695</v>
      </c>
      <c r="B151" s="3" t="s">
        <v>80</v>
      </c>
      <c r="C151" s="3" t="s">
        <v>10</v>
      </c>
      <c r="D151" s="3" t="s">
        <v>101</v>
      </c>
      <c r="E151" s="3" t="s">
        <v>696</v>
      </c>
      <c r="F151" s="3" t="s">
        <v>697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698</v>
      </c>
      <c r="M151" s="3" t="s">
        <v>109</v>
      </c>
      <c r="N151" s="3"/>
    </row>
    <row r="152" customFormat="false" ht="15" hidden="false" customHeight="true" outlineLevel="0" collapsed="false">
      <c r="A152" s="3" t="s">
        <v>699</v>
      </c>
      <c r="B152" s="3" t="s">
        <v>80</v>
      </c>
      <c r="C152" s="3" t="s">
        <v>11</v>
      </c>
      <c r="D152" s="3" t="s">
        <v>460</v>
      </c>
      <c r="E152" s="3" t="s">
        <v>700</v>
      </c>
      <c r="F152" s="3" t="s">
        <v>701</v>
      </c>
      <c r="G152" s="3" t="s">
        <v>22</v>
      </c>
      <c r="H152" s="3" t="s">
        <v>2</v>
      </c>
      <c r="I152" s="3" t="s">
        <v>702</v>
      </c>
      <c r="J152" s="3"/>
      <c r="K152" s="3" t="s">
        <v>17</v>
      </c>
      <c r="L152" s="3" t="s">
        <v>703</v>
      </c>
      <c r="M152" s="3" t="s">
        <v>109</v>
      </c>
      <c r="N152" s="3" t="s">
        <v>704</v>
      </c>
    </row>
    <row r="153" customFormat="false" ht="15" hidden="false" customHeight="true" outlineLevel="0" collapsed="false">
      <c r="A153" s="3" t="s">
        <v>705</v>
      </c>
      <c r="B153" s="3" t="s">
        <v>80</v>
      </c>
      <c r="C153" s="3" t="s">
        <v>11</v>
      </c>
      <c r="D153" s="3" t="s">
        <v>54</v>
      </c>
      <c r="E153" s="3" t="s">
        <v>706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81</v>
      </c>
      <c r="M153" s="3"/>
      <c r="N153" s="3"/>
    </row>
    <row r="154" customFormat="false" ht="15" hidden="false" customHeight="true" outlineLevel="0" collapsed="false">
      <c r="A154" s="3" t="s">
        <v>707</v>
      </c>
      <c r="B154" s="3" t="s">
        <v>80</v>
      </c>
      <c r="C154" s="3" t="s">
        <v>11</v>
      </c>
      <c r="D154" s="3" t="s">
        <v>53</v>
      </c>
      <c r="E154" s="3" t="s">
        <v>708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81</v>
      </c>
      <c r="M154" s="3"/>
      <c r="N154" s="3"/>
    </row>
    <row r="155" customFormat="false" ht="15" hidden="false" customHeight="true" outlineLevel="0" collapsed="false">
      <c r="A155" s="3" t="s">
        <v>709</v>
      </c>
      <c r="B155" s="3" t="s">
        <v>80</v>
      </c>
      <c r="C155" s="3" t="s">
        <v>10</v>
      </c>
      <c r="D155" s="3" t="s">
        <v>710</v>
      </c>
      <c r="E155" s="3" t="s">
        <v>711</v>
      </c>
      <c r="F155" s="3" t="s">
        <v>712</v>
      </c>
      <c r="G155" s="3" t="s">
        <v>22</v>
      </c>
      <c r="H155" s="3" t="s">
        <v>2</v>
      </c>
      <c r="I155" s="3" t="s">
        <v>713</v>
      </c>
      <c r="J155" s="3" t="s">
        <v>714</v>
      </c>
      <c r="K155" s="3" t="s">
        <v>18</v>
      </c>
      <c r="L155" s="3" t="s">
        <v>715</v>
      </c>
      <c r="M155" s="3" t="s">
        <v>109</v>
      </c>
      <c r="N155" s="3" t="s">
        <v>716</v>
      </c>
    </row>
    <row r="156" customFormat="false" ht="15" hidden="false" customHeight="true" outlineLevel="0" collapsed="false">
      <c r="A156" s="3" t="s">
        <v>717</v>
      </c>
      <c r="B156" s="3" t="s">
        <v>80</v>
      </c>
      <c r="C156" s="3" t="s">
        <v>11</v>
      </c>
      <c r="D156" s="3" t="s">
        <v>101</v>
      </c>
      <c r="E156" s="3" t="s">
        <v>718</v>
      </c>
      <c r="F156" s="3" t="s">
        <v>719</v>
      </c>
      <c r="G156" s="3" t="s">
        <v>22</v>
      </c>
      <c r="H156" s="3" t="s">
        <v>2</v>
      </c>
      <c r="I156" s="3" t="s">
        <v>720</v>
      </c>
      <c r="J156" s="3"/>
      <c r="K156" s="3" t="s">
        <v>17</v>
      </c>
      <c r="L156" s="3" t="s">
        <v>721</v>
      </c>
      <c r="M156" s="3" t="s">
        <v>109</v>
      </c>
      <c r="N156" s="3"/>
    </row>
    <row r="157" customFormat="false" ht="15" hidden="false" customHeight="true" outlineLevel="0" collapsed="false">
      <c r="A157" s="3" t="s">
        <v>722</v>
      </c>
      <c r="B157" s="3" t="s">
        <v>80</v>
      </c>
      <c r="C157" s="3" t="s">
        <v>11</v>
      </c>
      <c r="D157" s="3" t="s">
        <v>723</v>
      </c>
      <c r="E157" s="3" t="s">
        <v>724</v>
      </c>
      <c r="F157" s="3" t="s">
        <v>725</v>
      </c>
      <c r="G157" s="3" t="s">
        <v>22</v>
      </c>
      <c r="H157" s="3" t="s">
        <v>2</v>
      </c>
      <c r="I157" s="3" t="s">
        <v>726</v>
      </c>
      <c r="J157" s="3"/>
      <c r="K157" s="3" t="s">
        <v>18</v>
      </c>
      <c r="L157" s="3" t="s">
        <v>727</v>
      </c>
      <c r="M157" s="3" t="s">
        <v>109</v>
      </c>
      <c r="N157" s="3" t="s">
        <v>728</v>
      </c>
    </row>
    <row r="158" customFormat="false" ht="15" hidden="false" customHeight="true" outlineLevel="0" collapsed="false">
      <c r="A158" s="3" t="s">
        <v>729</v>
      </c>
      <c r="B158" s="3" t="s">
        <v>80</v>
      </c>
      <c r="C158" s="3" t="s">
        <v>11</v>
      </c>
      <c r="D158" s="3" t="s">
        <v>730</v>
      </c>
      <c r="E158" s="3" t="s">
        <v>731</v>
      </c>
      <c r="F158" s="3" t="s">
        <v>732</v>
      </c>
      <c r="G158" s="3" t="s">
        <v>22</v>
      </c>
      <c r="H158" s="3" t="s">
        <v>2</v>
      </c>
      <c r="I158" s="3" t="s">
        <v>733</v>
      </c>
      <c r="J158" s="3"/>
      <c r="K158" s="3" t="s">
        <v>18</v>
      </c>
      <c r="L158" s="3" t="s">
        <v>734</v>
      </c>
      <c r="M158" s="3" t="s">
        <v>109</v>
      </c>
      <c r="N158" s="3" t="s">
        <v>735</v>
      </c>
    </row>
    <row r="159" customFormat="false" ht="15" hidden="false" customHeight="true" outlineLevel="0" collapsed="false">
      <c r="A159" s="3" t="s">
        <v>736</v>
      </c>
      <c r="B159" s="3" t="s">
        <v>80</v>
      </c>
      <c r="C159" s="3" t="s">
        <v>11</v>
      </c>
      <c r="D159" s="3" t="s">
        <v>737</v>
      </c>
      <c r="E159" s="3" t="s">
        <v>738</v>
      </c>
      <c r="F159" s="3" t="s">
        <v>739</v>
      </c>
      <c r="G159" s="3" t="s">
        <v>22</v>
      </c>
      <c r="H159" s="3" t="s">
        <v>2</v>
      </c>
      <c r="I159" s="3" t="s">
        <v>740</v>
      </c>
      <c r="J159" s="3"/>
      <c r="K159" s="3" t="s">
        <v>18</v>
      </c>
      <c r="L159" s="3" t="s">
        <v>741</v>
      </c>
      <c r="M159" s="3" t="s">
        <v>109</v>
      </c>
      <c r="N159" s="3" t="s">
        <v>742</v>
      </c>
    </row>
    <row r="160" customFormat="false" ht="15" hidden="false" customHeight="true" outlineLevel="0" collapsed="false">
      <c r="A160" s="3" t="s">
        <v>743</v>
      </c>
      <c r="B160" s="3" t="s">
        <v>80</v>
      </c>
      <c r="C160" s="3" t="s">
        <v>11</v>
      </c>
      <c r="D160" s="3" t="s">
        <v>191</v>
      </c>
      <c r="E160" s="3" t="s">
        <v>744</v>
      </c>
      <c r="F160" s="3" t="s">
        <v>745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746</v>
      </c>
      <c r="M160" s="3" t="s">
        <v>109</v>
      </c>
      <c r="N160" s="3" t="s">
        <v>747</v>
      </c>
    </row>
    <row r="161" customFormat="false" ht="15" hidden="false" customHeight="true" outlineLevel="0" collapsed="false">
      <c r="A161" s="3" t="s">
        <v>748</v>
      </c>
      <c r="B161" s="3" t="s">
        <v>80</v>
      </c>
      <c r="C161" s="3" t="s">
        <v>11</v>
      </c>
      <c r="D161" s="3" t="s">
        <v>130</v>
      </c>
      <c r="E161" s="3" t="s">
        <v>749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81</v>
      </c>
      <c r="M161" s="3"/>
      <c r="N161" s="3"/>
    </row>
    <row r="162" customFormat="false" ht="15" hidden="false" customHeight="true" outlineLevel="0" collapsed="false">
      <c r="A162" s="3" t="s">
        <v>750</v>
      </c>
      <c r="B162" s="3" t="s">
        <v>80</v>
      </c>
      <c r="C162" s="3" t="s">
        <v>11</v>
      </c>
      <c r="D162" s="3" t="s">
        <v>148</v>
      </c>
      <c r="E162" s="3" t="s">
        <v>751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81</v>
      </c>
      <c r="M162" s="3"/>
      <c r="N162" s="3"/>
    </row>
    <row r="163" customFormat="false" ht="15" hidden="false" customHeight="true" outlineLevel="0" collapsed="false">
      <c r="A163" s="3" t="s">
        <v>752</v>
      </c>
      <c r="B163" s="3" t="s">
        <v>80</v>
      </c>
      <c r="C163" s="3" t="s">
        <v>11</v>
      </c>
      <c r="D163" s="3" t="s">
        <v>101</v>
      </c>
      <c r="E163" s="3" t="s">
        <v>753</v>
      </c>
      <c r="F163" s="3" t="s">
        <v>754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755</v>
      </c>
      <c r="M163" s="3" t="s">
        <v>109</v>
      </c>
      <c r="N163" s="3"/>
    </row>
    <row r="164" customFormat="false" ht="15" hidden="false" customHeight="true" outlineLevel="0" collapsed="false">
      <c r="A164" s="3" t="s">
        <v>756</v>
      </c>
      <c r="B164" s="3" t="s">
        <v>80</v>
      </c>
      <c r="C164" s="3" t="s">
        <v>11</v>
      </c>
      <c r="D164" s="3" t="s">
        <v>460</v>
      </c>
      <c r="E164" s="3" t="s">
        <v>757</v>
      </c>
      <c r="F164" s="3" t="s">
        <v>758</v>
      </c>
      <c r="G164" s="3" t="s">
        <v>22</v>
      </c>
      <c r="H164" s="3" t="s">
        <v>2</v>
      </c>
      <c r="I164" s="3" t="s">
        <v>702</v>
      </c>
      <c r="J164" s="3"/>
      <c r="K164" s="3" t="s">
        <v>17</v>
      </c>
      <c r="L164" s="3" t="s">
        <v>759</v>
      </c>
      <c r="M164" s="3" t="s">
        <v>109</v>
      </c>
      <c r="N164" s="3" t="s">
        <v>704</v>
      </c>
    </row>
    <row r="165" customFormat="false" ht="15" hidden="false" customHeight="true" outlineLevel="0" collapsed="false">
      <c r="A165" s="3" t="s">
        <v>760</v>
      </c>
      <c r="B165" s="3" t="s">
        <v>80</v>
      </c>
      <c r="C165" s="3" t="s">
        <v>11</v>
      </c>
      <c r="D165" s="3" t="s">
        <v>54</v>
      </c>
      <c r="E165" s="3" t="s">
        <v>761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81</v>
      </c>
      <c r="M165" s="3"/>
      <c r="N165" s="3" t="s">
        <v>762</v>
      </c>
    </row>
    <row r="166" customFormat="false" ht="15" hidden="false" customHeight="true" outlineLevel="0" collapsed="false">
      <c r="A166" s="3" t="s">
        <v>763</v>
      </c>
      <c r="B166" s="3" t="s">
        <v>80</v>
      </c>
      <c r="C166" s="3" t="s">
        <v>11</v>
      </c>
      <c r="D166" s="3" t="s">
        <v>53</v>
      </c>
      <c r="E166" s="3" t="s">
        <v>764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81</v>
      </c>
      <c r="M166" s="3"/>
      <c r="N166" s="3" t="s">
        <v>762</v>
      </c>
    </row>
    <row r="167" customFormat="false" ht="15" hidden="false" customHeight="true" outlineLevel="0" collapsed="false">
      <c r="A167" s="3" t="s">
        <v>765</v>
      </c>
      <c r="B167" s="3" t="s">
        <v>80</v>
      </c>
      <c r="C167" s="3" t="s">
        <v>11</v>
      </c>
      <c r="D167" s="3" t="s">
        <v>766</v>
      </c>
      <c r="E167" s="3" t="s">
        <v>767</v>
      </c>
      <c r="F167" s="3" t="s">
        <v>768</v>
      </c>
      <c r="G167" s="3" t="s">
        <v>22</v>
      </c>
      <c r="H167" s="3" t="s">
        <v>2</v>
      </c>
      <c r="I167" s="3" t="s">
        <v>769</v>
      </c>
      <c r="J167" s="3"/>
      <c r="K167" s="3" t="s">
        <v>18</v>
      </c>
      <c r="L167" s="3" t="s">
        <v>770</v>
      </c>
      <c r="M167" s="3" t="s">
        <v>109</v>
      </c>
      <c r="N167" s="3"/>
    </row>
    <row r="168" customFormat="false" ht="15" hidden="false" customHeight="true" outlineLevel="0" collapsed="false">
      <c r="A168" s="3" t="s">
        <v>771</v>
      </c>
      <c r="B168" s="3" t="s">
        <v>80</v>
      </c>
      <c r="C168" s="3" t="s">
        <v>11</v>
      </c>
      <c r="D168" s="3" t="s">
        <v>772</v>
      </c>
      <c r="E168" s="3" t="s">
        <v>773</v>
      </c>
      <c r="F168" s="3" t="s">
        <v>774</v>
      </c>
      <c r="G168" s="3" t="s">
        <v>22</v>
      </c>
      <c r="H168" s="3" t="s">
        <v>2</v>
      </c>
      <c r="I168" s="3" t="s">
        <v>775</v>
      </c>
      <c r="J168" s="3"/>
      <c r="K168" s="3" t="s">
        <v>17</v>
      </c>
      <c r="L168" s="3" t="s">
        <v>776</v>
      </c>
      <c r="M168" s="3" t="s">
        <v>109</v>
      </c>
      <c r="N168" s="3"/>
    </row>
    <row r="169" customFormat="false" ht="15" hidden="false" customHeight="true" outlineLevel="0" collapsed="false">
      <c r="A169" s="3" t="s">
        <v>777</v>
      </c>
      <c r="B169" s="3" t="s">
        <v>80</v>
      </c>
      <c r="C169" s="3" t="s">
        <v>11</v>
      </c>
      <c r="D169" s="3" t="s">
        <v>778</v>
      </c>
      <c r="E169" s="3" t="s">
        <v>779</v>
      </c>
      <c r="F169" s="3" t="s">
        <v>780</v>
      </c>
      <c r="G169" s="3" t="s">
        <v>22</v>
      </c>
      <c r="H169" s="3" t="s">
        <v>2</v>
      </c>
      <c r="I169" s="3" t="s">
        <v>775</v>
      </c>
      <c r="J169" s="3"/>
      <c r="K169" s="3" t="s">
        <v>18</v>
      </c>
      <c r="L169" s="3" t="s">
        <v>781</v>
      </c>
      <c r="M169" s="3" t="s">
        <v>109</v>
      </c>
      <c r="N169" s="3" t="s">
        <v>782</v>
      </c>
    </row>
    <row r="170" customFormat="false" ht="15" hidden="false" customHeight="true" outlineLevel="0" collapsed="false">
      <c r="A170" s="3" t="s">
        <v>783</v>
      </c>
      <c r="B170" s="3" t="s">
        <v>80</v>
      </c>
      <c r="C170" s="3" t="s">
        <v>11</v>
      </c>
      <c r="D170" s="3" t="s">
        <v>784</v>
      </c>
      <c r="E170" s="3" t="s">
        <v>785</v>
      </c>
      <c r="F170" s="3"/>
      <c r="G170" s="3" t="s">
        <v>22</v>
      </c>
      <c r="H170" s="3" t="s">
        <v>2</v>
      </c>
      <c r="I170" s="3" t="s">
        <v>786</v>
      </c>
      <c r="J170" s="3" t="s">
        <v>98</v>
      </c>
      <c r="K170" s="3" t="s">
        <v>18</v>
      </c>
      <c r="L170" s="3" t="s">
        <v>787</v>
      </c>
      <c r="M170" s="15" t="n">
        <v>46328</v>
      </c>
      <c r="N170" s="3" t="s">
        <v>788</v>
      </c>
    </row>
    <row r="171" customFormat="false" ht="15" hidden="false" customHeight="true" outlineLevel="0" collapsed="false">
      <c r="A171" s="3" t="s">
        <v>789</v>
      </c>
      <c r="B171" s="3" t="s">
        <v>80</v>
      </c>
      <c r="C171" s="3" t="s">
        <v>11</v>
      </c>
      <c r="D171" s="3" t="s">
        <v>790</v>
      </c>
      <c r="E171" s="3" t="s">
        <v>791</v>
      </c>
      <c r="F171" s="3"/>
      <c r="G171" s="3" t="s">
        <v>22</v>
      </c>
      <c r="H171" s="3" t="s">
        <v>2</v>
      </c>
      <c r="I171" s="3" t="s">
        <v>792</v>
      </c>
      <c r="J171" s="3" t="s">
        <v>98</v>
      </c>
      <c r="K171" s="3" t="s">
        <v>17</v>
      </c>
      <c r="L171" s="3" t="s">
        <v>793</v>
      </c>
      <c r="M171" s="15" t="n">
        <v>46328</v>
      </c>
      <c r="N171" s="3" t="s">
        <v>788</v>
      </c>
    </row>
    <row r="172" customFormat="false" ht="15" hidden="false" customHeight="true" outlineLevel="0" collapsed="false">
      <c r="A172" s="3" t="s">
        <v>794</v>
      </c>
      <c r="B172" s="3" t="s">
        <v>80</v>
      </c>
      <c r="C172" s="3" t="s">
        <v>11</v>
      </c>
      <c r="D172" s="3" t="s">
        <v>795</v>
      </c>
      <c r="E172" s="3" t="s">
        <v>796</v>
      </c>
      <c r="F172" s="3" t="s">
        <v>797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798</v>
      </c>
      <c r="M172" s="3" t="s">
        <v>109</v>
      </c>
      <c r="N172" s="3" t="s">
        <v>799</v>
      </c>
    </row>
    <row r="173" customFormat="false" ht="15" hidden="false" customHeight="true" outlineLevel="0" collapsed="false">
      <c r="A173" s="3" t="s">
        <v>800</v>
      </c>
      <c r="B173" s="3" t="s">
        <v>80</v>
      </c>
      <c r="C173" s="3" t="s">
        <v>11</v>
      </c>
      <c r="D173" s="3" t="s">
        <v>101</v>
      </c>
      <c r="E173" s="3" t="s">
        <v>801</v>
      </c>
      <c r="F173" s="3" t="s">
        <v>802</v>
      </c>
      <c r="G173" s="3" t="s">
        <v>22</v>
      </c>
      <c r="H173" s="3" t="s">
        <v>2</v>
      </c>
      <c r="I173" s="3" t="s">
        <v>775</v>
      </c>
      <c r="J173" s="3"/>
      <c r="K173" s="3" t="s">
        <v>17</v>
      </c>
      <c r="L173" s="3" t="s">
        <v>803</v>
      </c>
      <c r="M173" s="3" t="s">
        <v>109</v>
      </c>
      <c r="N173" s="3"/>
    </row>
    <row r="174" customFormat="false" ht="15" hidden="false" customHeight="true" outlineLevel="0" collapsed="false">
      <c r="A174" s="3" t="s">
        <v>804</v>
      </c>
      <c r="B174" s="3" t="s">
        <v>80</v>
      </c>
      <c r="C174" s="3" t="s">
        <v>11</v>
      </c>
      <c r="D174" s="3" t="s">
        <v>191</v>
      </c>
      <c r="E174" s="3" t="s">
        <v>805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762</v>
      </c>
    </row>
    <row r="175" customFormat="false" ht="15" hidden="false" customHeight="true" outlineLevel="0" collapsed="false">
      <c r="A175" s="3" t="s">
        <v>806</v>
      </c>
      <c r="B175" s="3" t="s">
        <v>80</v>
      </c>
      <c r="C175" s="3" t="s">
        <v>11</v>
      </c>
      <c r="D175" s="3" t="s">
        <v>130</v>
      </c>
      <c r="E175" s="3" t="s">
        <v>807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81</v>
      </c>
      <c r="M175" s="3"/>
      <c r="N175" s="3" t="s">
        <v>762</v>
      </c>
    </row>
    <row r="176" customFormat="false" ht="15" hidden="false" customHeight="true" outlineLevel="0" collapsed="false">
      <c r="A176" s="3" t="s">
        <v>808</v>
      </c>
      <c r="B176" s="3" t="s">
        <v>80</v>
      </c>
      <c r="C176" s="3" t="s">
        <v>11</v>
      </c>
      <c r="D176" s="3" t="s">
        <v>442</v>
      </c>
      <c r="E176" s="3" t="s">
        <v>809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444</v>
      </c>
      <c r="M176" s="3"/>
      <c r="N176" s="3" t="s">
        <v>762</v>
      </c>
    </row>
    <row r="177" customFormat="false" ht="15" hidden="false" customHeight="true" outlineLevel="0" collapsed="false">
      <c r="A177" s="3" t="s">
        <v>810</v>
      </c>
      <c r="B177" s="3" t="s">
        <v>80</v>
      </c>
      <c r="C177" s="3" t="s">
        <v>11</v>
      </c>
      <c r="D177" s="3" t="s">
        <v>148</v>
      </c>
      <c r="E177" s="3" t="s">
        <v>811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81</v>
      </c>
      <c r="M177" s="3"/>
      <c r="N177" s="3" t="s">
        <v>762</v>
      </c>
    </row>
    <row r="178" customFormat="false" ht="15" hidden="false" customHeight="true" outlineLevel="0" collapsed="false">
      <c r="A178" s="3" t="s">
        <v>812</v>
      </c>
      <c r="B178" s="3" t="s">
        <v>80</v>
      </c>
      <c r="C178" s="3" t="s">
        <v>11</v>
      </c>
      <c r="D178" s="3" t="s">
        <v>813</v>
      </c>
      <c r="E178" s="3" t="s">
        <v>814</v>
      </c>
      <c r="F178" s="3"/>
      <c r="G178" s="3" t="s">
        <v>28</v>
      </c>
      <c r="H178" s="3" t="s">
        <v>3</v>
      </c>
      <c r="I178" s="3" t="s">
        <v>815</v>
      </c>
      <c r="J178" s="3" t="s">
        <v>816</v>
      </c>
      <c r="K178" s="3" t="s">
        <v>17</v>
      </c>
      <c r="L178" s="3" t="s">
        <v>817</v>
      </c>
      <c r="M178" s="15" t="n">
        <v>46328</v>
      </c>
      <c r="N178" s="3" t="s">
        <v>762</v>
      </c>
    </row>
    <row r="179" customFormat="false" ht="15" hidden="false" customHeight="true" outlineLevel="0" collapsed="false">
      <c r="A179" s="3" t="s">
        <v>818</v>
      </c>
      <c r="B179" s="3" t="s">
        <v>80</v>
      </c>
      <c r="C179" s="3" t="s">
        <v>11</v>
      </c>
      <c r="D179" s="3" t="s">
        <v>819</v>
      </c>
      <c r="E179" s="3" t="s">
        <v>820</v>
      </c>
      <c r="F179" s="3" t="s">
        <v>821</v>
      </c>
      <c r="G179" s="3" t="s">
        <v>22</v>
      </c>
      <c r="H179" s="3" t="s">
        <v>2</v>
      </c>
      <c r="I179" s="3" t="s">
        <v>822</v>
      </c>
      <c r="J179" s="3"/>
      <c r="K179" s="3" t="s">
        <v>18</v>
      </c>
      <c r="L179" s="3" t="s">
        <v>823</v>
      </c>
      <c r="M179" s="3" t="s">
        <v>109</v>
      </c>
      <c r="N179" s="3" t="s">
        <v>824</v>
      </c>
    </row>
    <row r="180" customFormat="false" ht="15" hidden="false" customHeight="true" outlineLevel="0" collapsed="false">
      <c r="A180" s="3" t="s">
        <v>825</v>
      </c>
      <c r="B180" s="3" t="s">
        <v>80</v>
      </c>
      <c r="C180" s="3" t="s">
        <v>11</v>
      </c>
      <c r="D180" s="3" t="s">
        <v>826</v>
      </c>
      <c r="E180" s="3" t="s">
        <v>827</v>
      </c>
      <c r="F180" s="3" t="s">
        <v>828</v>
      </c>
      <c r="G180" s="3" t="s">
        <v>22</v>
      </c>
      <c r="H180" s="3" t="s">
        <v>2</v>
      </c>
      <c r="I180" s="3" t="s">
        <v>829</v>
      </c>
      <c r="J180" s="3"/>
      <c r="K180" s="3" t="s">
        <v>18</v>
      </c>
      <c r="L180" s="3" t="s">
        <v>830</v>
      </c>
      <c r="M180" s="3" t="s">
        <v>109</v>
      </c>
      <c r="N180" s="3" t="s">
        <v>831</v>
      </c>
    </row>
    <row r="181" customFormat="false" ht="15" hidden="false" customHeight="true" outlineLevel="0" collapsed="false">
      <c r="A181" s="3" t="s">
        <v>832</v>
      </c>
      <c r="B181" s="3" t="s">
        <v>80</v>
      </c>
      <c r="C181" s="3" t="s">
        <v>11</v>
      </c>
      <c r="D181" s="3" t="s">
        <v>833</v>
      </c>
      <c r="E181" s="3" t="s">
        <v>834</v>
      </c>
      <c r="F181" s="3" t="s">
        <v>835</v>
      </c>
      <c r="G181" s="3" t="s">
        <v>22</v>
      </c>
      <c r="H181" s="3" t="s">
        <v>2</v>
      </c>
      <c r="I181" s="3" t="s">
        <v>836</v>
      </c>
      <c r="J181" s="3"/>
      <c r="K181" s="3" t="s">
        <v>18</v>
      </c>
      <c r="L181" s="3" t="s">
        <v>837</v>
      </c>
      <c r="M181" s="3" t="s">
        <v>109</v>
      </c>
      <c r="N181" s="3" t="s">
        <v>838</v>
      </c>
    </row>
    <row r="182" customFormat="false" ht="15" hidden="false" customHeight="true" outlineLevel="0" collapsed="false">
      <c r="A182" s="3" t="s">
        <v>839</v>
      </c>
      <c r="B182" s="3" t="s">
        <v>80</v>
      </c>
      <c r="C182" s="3" t="s">
        <v>11</v>
      </c>
      <c r="D182" s="3" t="s">
        <v>840</v>
      </c>
      <c r="E182" s="3" t="s">
        <v>841</v>
      </c>
      <c r="F182" s="3" t="s">
        <v>842</v>
      </c>
      <c r="G182" s="3" t="s">
        <v>22</v>
      </c>
      <c r="H182" s="3" t="s">
        <v>2</v>
      </c>
      <c r="I182" s="3" t="s">
        <v>843</v>
      </c>
      <c r="J182" s="3"/>
      <c r="K182" s="3" t="s">
        <v>18</v>
      </c>
      <c r="L182" s="3" t="s">
        <v>844</v>
      </c>
      <c r="M182" s="3" t="s">
        <v>109</v>
      </c>
      <c r="N182" s="3" t="s">
        <v>845</v>
      </c>
    </row>
    <row r="183" customFormat="false" ht="15" hidden="false" customHeight="true" outlineLevel="0" collapsed="false">
      <c r="A183" s="3" t="s">
        <v>846</v>
      </c>
      <c r="B183" s="3" t="s">
        <v>80</v>
      </c>
      <c r="C183" s="3" t="s">
        <v>11</v>
      </c>
      <c r="D183" s="3" t="s">
        <v>847</v>
      </c>
      <c r="E183" s="3" t="s">
        <v>848</v>
      </c>
      <c r="F183" s="3" t="s">
        <v>849</v>
      </c>
      <c r="G183" s="3" t="s">
        <v>22</v>
      </c>
      <c r="H183" s="3" t="s">
        <v>2</v>
      </c>
      <c r="I183" s="3" t="s">
        <v>850</v>
      </c>
      <c r="J183" s="3" t="s">
        <v>851</v>
      </c>
      <c r="K183" s="3" t="s">
        <v>18</v>
      </c>
      <c r="L183" s="3" t="s">
        <v>852</v>
      </c>
      <c r="M183" s="3" t="s">
        <v>109</v>
      </c>
      <c r="N183" s="3" t="s">
        <v>853</v>
      </c>
    </row>
    <row r="184" customFormat="false" ht="15" hidden="false" customHeight="true" outlineLevel="0" collapsed="false">
      <c r="A184" s="3" t="s">
        <v>854</v>
      </c>
      <c r="B184" s="3" t="s">
        <v>80</v>
      </c>
      <c r="C184" s="3" t="s">
        <v>11</v>
      </c>
      <c r="D184" s="3" t="s">
        <v>101</v>
      </c>
      <c r="E184" s="3" t="s">
        <v>855</v>
      </c>
      <c r="F184" s="3" t="s">
        <v>856</v>
      </c>
      <c r="G184" s="3" t="s">
        <v>22</v>
      </c>
      <c r="H184" s="3" t="s">
        <v>2</v>
      </c>
      <c r="I184" s="3" t="s">
        <v>857</v>
      </c>
      <c r="J184" s="3"/>
      <c r="K184" s="3" t="s">
        <v>17</v>
      </c>
      <c r="L184" s="3" t="s">
        <v>858</v>
      </c>
      <c r="M184" s="3" t="s">
        <v>109</v>
      </c>
      <c r="N184" s="3" t="s">
        <v>859</v>
      </c>
    </row>
    <row r="185" customFormat="false" ht="15" hidden="false" customHeight="true" outlineLevel="0" collapsed="false">
      <c r="A185" s="3" t="s">
        <v>860</v>
      </c>
      <c r="B185" s="3" t="s">
        <v>80</v>
      </c>
      <c r="C185" s="3" t="s">
        <v>11</v>
      </c>
      <c r="D185" s="3" t="s">
        <v>101</v>
      </c>
      <c r="E185" s="3" t="s">
        <v>861</v>
      </c>
      <c r="F185" s="3"/>
      <c r="G185" s="3" t="s">
        <v>22</v>
      </c>
      <c r="H185" s="3" t="s">
        <v>2</v>
      </c>
      <c r="I185" s="3" t="s">
        <v>862</v>
      </c>
      <c r="J185" s="3" t="s">
        <v>98</v>
      </c>
      <c r="K185" s="3" t="s">
        <v>17</v>
      </c>
      <c r="L185" s="3" t="s">
        <v>863</v>
      </c>
      <c r="M185" s="15" t="n">
        <v>46328</v>
      </c>
      <c r="N185" s="3" t="s">
        <v>762</v>
      </c>
    </row>
    <row r="186" customFormat="false" ht="15" hidden="false" customHeight="true" outlineLevel="0" collapsed="false">
      <c r="A186" s="3" t="s">
        <v>864</v>
      </c>
      <c r="B186" s="3" t="s">
        <v>80</v>
      </c>
      <c r="C186" s="3" t="s">
        <v>11</v>
      </c>
      <c r="D186" s="3" t="s">
        <v>865</v>
      </c>
      <c r="E186" s="3" t="s">
        <v>866</v>
      </c>
      <c r="F186" s="3" t="s">
        <v>867</v>
      </c>
      <c r="G186" s="3" t="s">
        <v>22</v>
      </c>
      <c r="H186" s="3" t="s">
        <v>3</v>
      </c>
      <c r="I186" s="3" t="s">
        <v>868</v>
      </c>
      <c r="J186" s="3" t="s">
        <v>869</v>
      </c>
      <c r="K186" s="3" t="s">
        <v>18</v>
      </c>
      <c r="L186" s="3" t="s">
        <v>870</v>
      </c>
      <c r="M186" s="3" t="s">
        <v>109</v>
      </c>
      <c r="N186" s="3"/>
    </row>
    <row r="187" customFormat="false" ht="15" hidden="false" customHeight="true" outlineLevel="0" collapsed="false">
      <c r="A187" s="3" t="s">
        <v>871</v>
      </c>
      <c r="B187" s="3" t="s">
        <v>80</v>
      </c>
      <c r="C187" s="3" t="s">
        <v>11</v>
      </c>
      <c r="D187" s="3" t="s">
        <v>872</v>
      </c>
      <c r="E187" s="3" t="s">
        <v>873</v>
      </c>
      <c r="F187" s="3" t="s">
        <v>874</v>
      </c>
      <c r="G187" s="3" t="s">
        <v>22</v>
      </c>
      <c r="H187" s="3" t="s">
        <v>3</v>
      </c>
      <c r="I187" s="3" t="s">
        <v>875</v>
      </c>
      <c r="J187" s="3" t="s">
        <v>876</v>
      </c>
      <c r="K187" s="3" t="s">
        <v>18</v>
      </c>
      <c r="L187" s="3" t="s">
        <v>877</v>
      </c>
      <c r="M187" s="3" t="s">
        <v>109</v>
      </c>
      <c r="N187" s="3" t="s">
        <v>878</v>
      </c>
    </row>
    <row r="188" customFormat="false" ht="15" hidden="false" customHeight="true" outlineLevel="0" collapsed="false">
      <c r="A188" s="3" t="s">
        <v>879</v>
      </c>
      <c r="B188" s="3" t="s">
        <v>80</v>
      </c>
      <c r="C188" s="3" t="s">
        <v>11</v>
      </c>
      <c r="D188" s="3" t="s">
        <v>880</v>
      </c>
      <c r="E188" s="3" t="s">
        <v>881</v>
      </c>
      <c r="F188" s="3"/>
      <c r="G188" s="3" t="s">
        <v>22</v>
      </c>
      <c r="H188" s="3" t="s">
        <v>2</v>
      </c>
      <c r="I188" s="3" t="s">
        <v>882</v>
      </c>
      <c r="J188" s="3" t="s">
        <v>883</v>
      </c>
      <c r="K188" s="3" t="s">
        <v>19</v>
      </c>
      <c r="L188" s="3" t="s">
        <v>884</v>
      </c>
      <c r="M188" s="15" t="n">
        <v>46328</v>
      </c>
      <c r="N188" s="3" t="s">
        <v>885</v>
      </c>
    </row>
    <row r="189" customFormat="false" ht="15" hidden="false" customHeight="true" outlineLevel="0" collapsed="false">
      <c r="A189" s="3" t="s">
        <v>886</v>
      </c>
      <c r="B189" s="3" t="s">
        <v>80</v>
      </c>
      <c r="C189" s="3" t="s">
        <v>11</v>
      </c>
      <c r="D189" s="3" t="s">
        <v>887</v>
      </c>
      <c r="E189" s="3" t="s">
        <v>888</v>
      </c>
      <c r="F189" s="3"/>
      <c r="G189" s="3" t="s">
        <v>22</v>
      </c>
      <c r="H189" s="3" t="s">
        <v>2</v>
      </c>
      <c r="I189" s="3" t="s">
        <v>889</v>
      </c>
      <c r="J189" s="3" t="s">
        <v>98</v>
      </c>
      <c r="K189" s="3" t="s">
        <v>18</v>
      </c>
      <c r="L189" s="3" t="s">
        <v>890</v>
      </c>
      <c r="M189" s="15" t="n">
        <v>46328</v>
      </c>
      <c r="N189" s="3" t="s">
        <v>885</v>
      </c>
    </row>
    <row r="190" customFormat="false" ht="15" hidden="false" customHeight="true" outlineLevel="0" collapsed="false">
      <c r="A190" s="3" t="s">
        <v>891</v>
      </c>
      <c r="B190" s="3" t="s">
        <v>80</v>
      </c>
      <c r="C190" s="3" t="s">
        <v>11</v>
      </c>
      <c r="D190" s="3" t="s">
        <v>892</v>
      </c>
      <c r="E190" s="3" t="s">
        <v>893</v>
      </c>
      <c r="F190" s="3"/>
      <c r="G190" s="3" t="s">
        <v>28</v>
      </c>
      <c r="H190" s="3" t="s">
        <v>3</v>
      </c>
      <c r="I190" s="3" t="s">
        <v>894</v>
      </c>
      <c r="J190" s="3" t="s">
        <v>895</v>
      </c>
      <c r="K190" s="3" t="s">
        <v>17</v>
      </c>
      <c r="L190" s="3" t="s">
        <v>896</v>
      </c>
      <c r="M190" s="15" t="n">
        <v>46328</v>
      </c>
      <c r="N190" s="3" t="s">
        <v>885</v>
      </c>
    </row>
    <row r="191" customFormat="false" ht="15" hidden="false" customHeight="true" outlineLevel="0" collapsed="false">
      <c r="A191" s="3" t="s">
        <v>897</v>
      </c>
      <c r="B191" s="3" t="s">
        <v>80</v>
      </c>
      <c r="C191" s="3" t="s">
        <v>11</v>
      </c>
      <c r="D191" s="3" t="s">
        <v>898</v>
      </c>
      <c r="E191" s="3" t="s">
        <v>899</v>
      </c>
      <c r="F191" s="3"/>
      <c r="G191" s="3" t="s">
        <v>28</v>
      </c>
      <c r="H191" s="3" t="s">
        <v>3</v>
      </c>
      <c r="I191" s="3" t="s">
        <v>900</v>
      </c>
      <c r="J191" s="3" t="s">
        <v>895</v>
      </c>
      <c r="K191" s="3" t="s">
        <v>17</v>
      </c>
      <c r="L191" s="3" t="s">
        <v>901</v>
      </c>
      <c r="M191" s="15" t="n">
        <v>46328</v>
      </c>
      <c r="N191" s="3" t="s">
        <v>885</v>
      </c>
    </row>
    <row r="192" customFormat="false" ht="15" hidden="false" customHeight="true" outlineLevel="0" collapsed="false">
      <c r="A192" s="3" t="s">
        <v>902</v>
      </c>
      <c r="B192" s="3" t="s">
        <v>80</v>
      </c>
      <c r="C192" s="3" t="s">
        <v>11</v>
      </c>
      <c r="D192" s="3" t="s">
        <v>903</v>
      </c>
      <c r="E192" s="3" t="s">
        <v>904</v>
      </c>
      <c r="F192" s="3" t="s">
        <v>905</v>
      </c>
      <c r="G192" s="3" t="s">
        <v>22</v>
      </c>
      <c r="H192" s="3" t="s">
        <v>6</v>
      </c>
      <c r="I192" s="3" t="s">
        <v>906</v>
      </c>
      <c r="J192" s="3"/>
      <c r="K192" s="3" t="s">
        <v>17</v>
      </c>
      <c r="L192" s="3" t="s">
        <v>907</v>
      </c>
      <c r="M192" s="3" t="s">
        <v>109</v>
      </c>
      <c r="N192" s="3"/>
    </row>
    <row r="193" customFormat="false" ht="15" hidden="false" customHeight="true" outlineLevel="0" collapsed="false">
      <c r="A193" s="3" t="s">
        <v>908</v>
      </c>
      <c r="B193" s="3" t="s">
        <v>80</v>
      </c>
      <c r="C193" s="3" t="s">
        <v>11</v>
      </c>
      <c r="D193" s="3" t="s">
        <v>909</v>
      </c>
      <c r="E193" s="3" t="s">
        <v>910</v>
      </c>
      <c r="F193" s="3"/>
      <c r="G193" s="3" t="s">
        <v>22</v>
      </c>
      <c r="H193" s="3" t="s">
        <v>2</v>
      </c>
      <c r="I193" s="3" t="s">
        <v>911</v>
      </c>
      <c r="J193" s="3" t="s">
        <v>98</v>
      </c>
      <c r="K193" s="3" t="s">
        <v>17</v>
      </c>
      <c r="L193" s="3" t="s">
        <v>912</v>
      </c>
      <c r="M193" s="15" t="n">
        <v>46328</v>
      </c>
      <c r="N193" s="3" t="s">
        <v>885</v>
      </c>
    </row>
    <row r="194" customFormat="false" ht="15" hidden="false" customHeight="true" outlineLevel="0" collapsed="false">
      <c r="A194" s="3" t="s">
        <v>913</v>
      </c>
      <c r="B194" s="3" t="s">
        <v>80</v>
      </c>
      <c r="C194" s="3" t="s">
        <v>11</v>
      </c>
      <c r="D194" s="3" t="s">
        <v>914</v>
      </c>
      <c r="E194" s="3" t="s">
        <v>915</v>
      </c>
      <c r="F194" s="3"/>
      <c r="G194" s="3" t="s">
        <v>22</v>
      </c>
      <c r="H194" s="3" t="s">
        <v>2</v>
      </c>
      <c r="I194" s="3" t="s">
        <v>916</v>
      </c>
      <c r="J194" s="3" t="s">
        <v>98</v>
      </c>
      <c r="K194" s="3" t="s">
        <v>18</v>
      </c>
      <c r="L194" s="3" t="s">
        <v>917</v>
      </c>
      <c r="M194" s="15" t="n">
        <v>46328</v>
      </c>
      <c r="N194" s="3" t="s">
        <v>885</v>
      </c>
    </row>
    <row r="195" customFormat="false" ht="15" hidden="false" customHeight="true" outlineLevel="0" collapsed="false">
      <c r="A195" s="3" t="s">
        <v>918</v>
      </c>
      <c r="B195" s="3" t="s">
        <v>80</v>
      </c>
      <c r="C195" s="3" t="s">
        <v>11</v>
      </c>
      <c r="D195" s="3" t="s">
        <v>101</v>
      </c>
      <c r="E195" s="3" t="s">
        <v>919</v>
      </c>
      <c r="F195" s="3" t="s">
        <v>920</v>
      </c>
      <c r="G195" s="3" t="s">
        <v>22</v>
      </c>
      <c r="H195" s="3" t="s">
        <v>2</v>
      </c>
      <c r="I195" s="3" t="s">
        <v>921</v>
      </c>
      <c r="J195" s="3"/>
      <c r="K195" s="3" t="s">
        <v>17</v>
      </c>
      <c r="L195" s="3" t="s">
        <v>922</v>
      </c>
      <c r="M195" s="3" t="s">
        <v>109</v>
      </c>
      <c r="N195" s="3"/>
    </row>
    <row r="196" customFormat="false" ht="15" hidden="false" customHeight="true" outlineLevel="0" collapsed="false">
      <c r="A196" s="3" t="s">
        <v>923</v>
      </c>
      <c r="B196" s="3" t="s">
        <v>80</v>
      </c>
      <c r="C196" s="3" t="s">
        <v>11</v>
      </c>
      <c r="D196" s="3" t="s">
        <v>101</v>
      </c>
      <c r="E196" s="3" t="s">
        <v>924</v>
      </c>
      <c r="F196" s="3" t="s">
        <v>925</v>
      </c>
      <c r="G196" s="3" t="s">
        <v>22</v>
      </c>
      <c r="H196" s="3" t="s">
        <v>2</v>
      </c>
      <c r="I196" s="3" t="s">
        <v>926</v>
      </c>
      <c r="J196" s="3"/>
      <c r="K196" s="3" t="s">
        <v>17</v>
      </c>
      <c r="L196" s="3" t="s">
        <v>927</v>
      </c>
      <c r="M196" s="3" t="s">
        <v>109</v>
      </c>
      <c r="N196" s="3"/>
    </row>
    <row r="197" customFormat="false" ht="15" hidden="false" customHeight="true" outlineLevel="0" collapsed="false">
      <c r="A197" s="3" t="s">
        <v>928</v>
      </c>
      <c r="B197" s="3" t="s">
        <v>80</v>
      </c>
      <c r="C197" s="3" t="s">
        <v>11</v>
      </c>
      <c r="D197" s="3" t="s">
        <v>929</v>
      </c>
      <c r="E197" s="3" t="s">
        <v>930</v>
      </c>
      <c r="F197" s="3"/>
      <c r="G197" s="3" t="s">
        <v>28</v>
      </c>
      <c r="H197" s="3" t="s">
        <v>2</v>
      </c>
      <c r="I197" s="3" t="s">
        <v>931</v>
      </c>
      <c r="J197" s="3" t="s">
        <v>932</v>
      </c>
      <c r="K197" s="3" t="s">
        <v>17</v>
      </c>
      <c r="L197" s="3" t="s">
        <v>933</v>
      </c>
      <c r="M197" s="15" t="n">
        <v>46328</v>
      </c>
      <c r="N197" s="3"/>
    </row>
    <row r="198" customFormat="false" ht="15" hidden="false" customHeight="true" outlineLevel="0" collapsed="false">
      <c r="A198" s="3" t="s">
        <v>934</v>
      </c>
      <c r="B198" s="3" t="s">
        <v>80</v>
      </c>
      <c r="C198" s="3" t="s">
        <v>11</v>
      </c>
      <c r="D198" s="3" t="s">
        <v>935</v>
      </c>
      <c r="E198" s="3" t="s">
        <v>936</v>
      </c>
      <c r="F198" s="3" t="s">
        <v>937</v>
      </c>
      <c r="G198" s="3" t="s">
        <v>22</v>
      </c>
      <c r="H198" s="3" t="s">
        <v>2</v>
      </c>
      <c r="I198" s="3" t="s">
        <v>938</v>
      </c>
      <c r="J198" s="3"/>
      <c r="K198" s="3" t="s">
        <v>19</v>
      </c>
      <c r="L198" s="3" t="s">
        <v>939</v>
      </c>
      <c r="M198" s="3" t="s">
        <v>109</v>
      </c>
      <c r="N198" s="3" t="s">
        <v>940</v>
      </c>
    </row>
    <row r="199" customFormat="false" ht="15" hidden="false" customHeight="true" outlineLevel="0" collapsed="false">
      <c r="A199" s="3" t="s">
        <v>941</v>
      </c>
      <c r="B199" s="3" t="s">
        <v>80</v>
      </c>
      <c r="C199" s="3" t="s">
        <v>11</v>
      </c>
      <c r="D199" s="3" t="s">
        <v>942</v>
      </c>
      <c r="E199" s="3" t="s">
        <v>943</v>
      </c>
      <c r="F199" s="3" t="s">
        <v>944</v>
      </c>
      <c r="G199" s="3" t="s">
        <v>22</v>
      </c>
      <c r="H199" s="3" t="s">
        <v>3</v>
      </c>
      <c r="I199" s="3" t="s">
        <v>945</v>
      </c>
      <c r="J199" s="3" t="s">
        <v>946</v>
      </c>
      <c r="K199" s="3" t="s">
        <v>19</v>
      </c>
      <c r="L199" s="3" t="s">
        <v>947</v>
      </c>
      <c r="M199" s="3" t="s">
        <v>109</v>
      </c>
      <c r="N199" s="3" t="s">
        <v>948</v>
      </c>
    </row>
    <row r="200" customFormat="false" ht="15" hidden="false" customHeight="true" outlineLevel="0" collapsed="false">
      <c r="A200" s="3" t="s">
        <v>949</v>
      </c>
      <c r="B200" s="3" t="s">
        <v>80</v>
      </c>
      <c r="C200" s="3" t="s">
        <v>11</v>
      </c>
      <c r="D200" s="3" t="s">
        <v>950</v>
      </c>
      <c r="E200" s="3" t="s">
        <v>951</v>
      </c>
      <c r="F200" s="3" t="s">
        <v>952</v>
      </c>
      <c r="G200" s="3" t="s">
        <v>22</v>
      </c>
      <c r="H200" s="3" t="s">
        <v>3</v>
      </c>
      <c r="I200" s="3" t="s">
        <v>953</v>
      </c>
      <c r="J200" s="3" t="s">
        <v>954</v>
      </c>
      <c r="K200" s="3" t="s">
        <v>19</v>
      </c>
      <c r="L200" s="3" t="s">
        <v>955</v>
      </c>
      <c r="M200" s="3" t="s">
        <v>109</v>
      </c>
      <c r="N200" s="3" t="s">
        <v>956</v>
      </c>
    </row>
    <row r="201" customFormat="false" ht="15" hidden="false" customHeight="true" outlineLevel="0" collapsed="false">
      <c r="A201" s="3" t="s">
        <v>957</v>
      </c>
      <c r="B201" s="3" t="s">
        <v>80</v>
      </c>
      <c r="C201" s="3" t="s">
        <v>11</v>
      </c>
      <c r="D201" s="3" t="s">
        <v>958</v>
      </c>
      <c r="E201" s="3" t="s">
        <v>959</v>
      </c>
      <c r="F201" s="3" t="s">
        <v>960</v>
      </c>
      <c r="G201" s="3" t="s">
        <v>22</v>
      </c>
      <c r="H201" s="3" t="s">
        <v>2</v>
      </c>
      <c r="I201" s="3" t="s">
        <v>961</v>
      </c>
      <c r="J201" s="3"/>
      <c r="K201" s="3" t="s">
        <v>19</v>
      </c>
      <c r="L201" s="3" t="s">
        <v>962</v>
      </c>
      <c r="M201" s="3" t="s">
        <v>109</v>
      </c>
      <c r="N201" s="3" t="s">
        <v>963</v>
      </c>
    </row>
    <row r="202" customFormat="false" ht="15" hidden="false" customHeight="true" outlineLevel="0" collapsed="false">
      <c r="A202" s="3" t="s">
        <v>964</v>
      </c>
      <c r="B202" s="3" t="s">
        <v>80</v>
      </c>
      <c r="C202" s="3" t="s">
        <v>11</v>
      </c>
      <c r="D202" s="3" t="s">
        <v>965</v>
      </c>
      <c r="E202" s="3" t="s">
        <v>966</v>
      </c>
      <c r="F202" s="3" t="s">
        <v>967</v>
      </c>
      <c r="G202" s="3" t="s">
        <v>22</v>
      </c>
      <c r="H202" s="3" t="s">
        <v>2</v>
      </c>
      <c r="I202" s="3" t="s">
        <v>968</v>
      </c>
      <c r="J202" s="3"/>
      <c r="K202" s="3" t="s">
        <v>17</v>
      </c>
      <c r="L202" s="3" t="s">
        <v>969</v>
      </c>
      <c r="M202" s="3" t="s">
        <v>109</v>
      </c>
      <c r="N202" s="3"/>
    </row>
    <row r="203" customFormat="false" ht="15" hidden="false" customHeight="true" outlineLevel="0" collapsed="false">
      <c r="A203" s="3" t="s">
        <v>970</v>
      </c>
      <c r="B203" s="3" t="s">
        <v>80</v>
      </c>
      <c r="C203" s="3" t="s">
        <v>11</v>
      </c>
      <c r="D203" s="3" t="s">
        <v>101</v>
      </c>
      <c r="E203" s="3" t="s">
        <v>971</v>
      </c>
      <c r="F203" s="3" t="s">
        <v>972</v>
      </c>
      <c r="G203" s="3" t="s">
        <v>22</v>
      </c>
      <c r="H203" s="3" t="s">
        <v>2</v>
      </c>
      <c r="I203" s="3" t="s">
        <v>973</v>
      </c>
      <c r="J203" s="3"/>
      <c r="K203" s="3" t="s">
        <v>19</v>
      </c>
      <c r="L203" s="3" t="s">
        <v>974</v>
      </c>
      <c r="M203" s="3" t="s">
        <v>109</v>
      </c>
      <c r="N203" s="3"/>
    </row>
    <row r="204" customFormat="false" ht="15" hidden="false" customHeight="true" outlineLevel="0" collapsed="false">
      <c r="A204" s="3" t="s">
        <v>975</v>
      </c>
      <c r="B204" s="3" t="s">
        <v>80</v>
      </c>
      <c r="C204" s="3" t="s">
        <v>11</v>
      </c>
      <c r="D204" s="3" t="s">
        <v>101</v>
      </c>
      <c r="E204" s="3" t="s">
        <v>976</v>
      </c>
      <c r="F204" s="3" t="s">
        <v>977</v>
      </c>
      <c r="G204" s="3" t="s">
        <v>22</v>
      </c>
      <c r="H204" s="3" t="s">
        <v>2</v>
      </c>
      <c r="I204" s="3" t="s">
        <v>978</v>
      </c>
      <c r="J204" s="3"/>
      <c r="K204" s="3" t="s">
        <v>17</v>
      </c>
      <c r="L204" s="3" t="s">
        <v>979</v>
      </c>
      <c r="M204" s="3" t="s">
        <v>109</v>
      </c>
      <c r="N204" s="3"/>
    </row>
    <row r="205" customFormat="false" ht="15" hidden="false" customHeight="true" outlineLevel="0" collapsed="false">
      <c r="A205" s="3" t="s">
        <v>980</v>
      </c>
      <c r="B205" s="3" t="s">
        <v>80</v>
      </c>
      <c r="C205" s="3" t="s">
        <v>11</v>
      </c>
      <c r="D205" s="3" t="s">
        <v>929</v>
      </c>
      <c r="E205" s="3" t="s">
        <v>981</v>
      </c>
      <c r="F205" s="3"/>
      <c r="G205" s="3" t="s">
        <v>28</v>
      </c>
      <c r="H205" s="3" t="s">
        <v>2</v>
      </c>
      <c r="I205" s="3" t="s">
        <v>931</v>
      </c>
      <c r="J205" s="3" t="s">
        <v>932</v>
      </c>
      <c r="K205" s="3" t="s">
        <v>17</v>
      </c>
      <c r="L205" s="3" t="s">
        <v>982</v>
      </c>
      <c r="M205" s="15" t="n">
        <v>46328</v>
      </c>
      <c r="N205" s="3"/>
    </row>
    <row r="206" customFormat="false" ht="15" hidden="false" customHeight="true" outlineLevel="0" collapsed="false">
      <c r="A206" s="3" t="s">
        <v>983</v>
      </c>
      <c r="B206" s="3" t="s">
        <v>80</v>
      </c>
      <c r="C206" s="3" t="s">
        <v>11</v>
      </c>
      <c r="D206" s="3" t="s">
        <v>935</v>
      </c>
      <c r="E206" s="3" t="s">
        <v>984</v>
      </c>
      <c r="F206" s="3" t="s">
        <v>985</v>
      </c>
      <c r="G206" s="3" t="s">
        <v>22</v>
      </c>
      <c r="H206" s="3" t="s">
        <v>2</v>
      </c>
      <c r="I206" s="3" t="s">
        <v>986</v>
      </c>
      <c r="J206" s="3"/>
      <c r="K206" s="3" t="s">
        <v>17</v>
      </c>
      <c r="L206" s="3" t="s">
        <v>987</v>
      </c>
      <c r="M206" s="3" t="s">
        <v>109</v>
      </c>
      <c r="N206" s="3" t="s">
        <v>988</v>
      </c>
    </row>
    <row r="207" customFormat="false" ht="15" hidden="false" customHeight="true" outlineLevel="0" collapsed="false">
      <c r="A207" s="3" t="s">
        <v>989</v>
      </c>
      <c r="B207" s="3" t="s">
        <v>80</v>
      </c>
      <c r="C207" s="3" t="s">
        <v>11</v>
      </c>
      <c r="D207" s="3" t="s">
        <v>990</v>
      </c>
      <c r="E207" s="3" t="s">
        <v>991</v>
      </c>
      <c r="F207" s="3"/>
      <c r="G207" s="3" t="s">
        <v>22</v>
      </c>
      <c r="H207" s="3" t="s">
        <v>2</v>
      </c>
      <c r="I207" s="3" t="s">
        <v>992</v>
      </c>
      <c r="J207" s="3" t="s">
        <v>993</v>
      </c>
      <c r="K207" s="3" t="s">
        <v>18</v>
      </c>
      <c r="L207" s="3" t="s">
        <v>994</v>
      </c>
      <c r="M207" s="15" t="n">
        <v>46328</v>
      </c>
      <c r="N207" s="3"/>
    </row>
    <row r="208" customFormat="false" ht="15" hidden="false" customHeight="true" outlineLevel="0" collapsed="false">
      <c r="A208" s="3" t="s">
        <v>995</v>
      </c>
      <c r="B208" s="3" t="s">
        <v>80</v>
      </c>
      <c r="C208" s="3" t="s">
        <v>11</v>
      </c>
      <c r="D208" s="3" t="s">
        <v>958</v>
      </c>
      <c r="E208" s="3" t="s">
        <v>996</v>
      </c>
      <c r="F208" s="3" t="s">
        <v>997</v>
      </c>
      <c r="G208" s="3" t="s">
        <v>22</v>
      </c>
      <c r="H208" s="3" t="s">
        <v>2</v>
      </c>
      <c r="I208" s="3" t="s">
        <v>998</v>
      </c>
      <c r="J208" s="3"/>
      <c r="K208" s="3" t="s">
        <v>17</v>
      </c>
      <c r="L208" s="3" t="s">
        <v>999</v>
      </c>
      <c r="M208" s="3" t="s">
        <v>109</v>
      </c>
      <c r="N208" s="3" t="s">
        <v>1000</v>
      </c>
    </row>
    <row r="209" customFormat="false" ht="15" hidden="false" customHeight="true" outlineLevel="0" collapsed="false">
      <c r="A209" s="3" t="s">
        <v>1001</v>
      </c>
      <c r="B209" s="3" t="s">
        <v>80</v>
      </c>
      <c r="C209" s="3" t="s">
        <v>11</v>
      </c>
      <c r="D209" s="3" t="s">
        <v>101</v>
      </c>
      <c r="E209" s="3" t="s">
        <v>1002</v>
      </c>
      <c r="F209" s="3" t="s">
        <v>1003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1004</v>
      </c>
      <c r="M209" s="3" t="s">
        <v>109</v>
      </c>
      <c r="N209" s="3"/>
    </row>
    <row r="210" customFormat="false" ht="15" hidden="false" customHeight="true" outlineLevel="0" collapsed="false">
      <c r="A210" s="3" t="s">
        <v>1005</v>
      </c>
      <c r="B210" s="3" t="s">
        <v>80</v>
      </c>
      <c r="C210" s="3" t="s">
        <v>11</v>
      </c>
      <c r="D210" s="3" t="s">
        <v>101</v>
      </c>
      <c r="E210" s="3" t="s">
        <v>1006</v>
      </c>
      <c r="F210" s="3" t="s">
        <v>1007</v>
      </c>
      <c r="G210" s="3" t="s">
        <v>22</v>
      </c>
      <c r="H210" s="3" t="s">
        <v>2</v>
      </c>
      <c r="I210" s="3" t="s">
        <v>1008</v>
      </c>
      <c r="J210" s="3"/>
      <c r="K210" s="3" t="s">
        <v>17</v>
      </c>
      <c r="L210" s="3" t="s">
        <v>1009</v>
      </c>
      <c r="M210" s="3" t="s">
        <v>109</v>
      </c>
      <c r="N210" s="3" t="s">
        <v>1010</v>
      </c>
    </row>
    <row r="211" customFormat="false" ht="15" hidden="false" customHeight="true" outlineLevel="0" collapsed="false">
      <c r="A211" s="3" t="s">
        <v>1011</v>
      </c>
      <c r="B211" s="3" t="s">
        <v>80</v>
      </c>
      <c r="C211" s="3" t="s">
        <v>11</v>
      </c>
      <c r="D211" s="3" t="s">
        <v>101</v>
      </c>
      <c r="E211" s="3" t="s">
        <v>1012</v>
      </c>
      <c r="F211" s="3" t="s">
        <v>1013</v>
      </c>
      <c r="G211" s="3" t="s">
        <v>22</v>
      </c>
      <c r="H211" s="3" t="s">
        <v>2</v>
      </c>
      <c r="I211" s="3" t="s">
        <v>1014</v>
      </c>
      <c r="J211" s="3"/>
      <c r="K211" s="3" t="s">
        <v>17</v>
      </c>
      <c r="L211" s="3" t="s">
        <v>1015</v>
      </c>
      <c r="M211" s="3" t="s">
        <v>109</v>
      </c>
      <c r="N211" s="3"/>
    </row>
    <row r="212" customFormat="false" ht="15" hidden="false" customHeight="true" outlineLevel="0" collapsed="false">
      <c r="A212" s="3" t="s">
        <v>1016</v>
      </c>
      <c r="B212" s="3" t="s">
        <v>80</v>
      </c>
      <c r="C212" s="3" t="s">
        <v>11</v>
      </c>
      <c r="D212" s="3" t="s">
        <v>1017</v>
      </c>
      <c r="E212" s="3" t="s">
        <v>1018</v>
      </c>
      <c r="F212" s="3"/>
      <c r="G212" s="3" t="s">
        <v>28</v>
      </c>
      <c r="H212" s="3" t="s">
        <v>2</v>
      </c>
      <c r="I212" s="3" t="s">
        <v>1019</v>
      </c>
      <c r="J212" s="3" t="s">
        <v>932</v>
      </c>
      <c r="K212" s="3" t="s">
        <v>17</v>
      </c>
      <c r="L212" s="3" t="s">
        <v>1020</v>
      </c>
      <c r="M212" s="15" t="n">
        <v>46328</v>
      </c>
      <c r="N212" s="3"/>
    </row>
    <row r="213" customFormat="false" ht="15" hidden="false" customHeight="true" outlineLevel="0" collapsed="false">
      <c r="A213" s="3" t="s">
        <v>1021</v>
      </c>
      <c r="B213" s="3" t="s">
        <v>80</v>
      </c>
      <c r="C213" s="3" t="s">
        <v>11</v>
      </c>
      <c r="D213" s="3" t="s">
        <v>1022</v>
      </c>
      <c r="E213" s="3" t="s">
        <v>1023</v>
      </c>
      <c r="F213" s="3" t="s">
        <v>1024</v>
      </c>
      <c r="G213" s="3" t="s">
        <v>22</v>
      </c>
      <c r="H213" s="3" t="s">
        <v>2</v>
      </c>
      <c r="I213" s="3" t="s">
        <v>1025</v>
      </c>
      <c r="J213" s="3"/>
      <c r="K213" s="3" t="s">
        <v>19</v>
      </c>
      <c r="L213" s="3" t="s">
        <v>1026</v>
      </c>
      <c r="M213" s="3" t="s">
        <v>109</v>
      </c>
      <c r="N213" s="3" t="s">
        <v>1027</v>
      </c>
    </row>
    <row r="214" customFormat="false" ht="15" hidden="false" customHeight="true" outlineLevel="0" collapsed="false">
      <c r="A214" s="3" t="s">
        <v>1028</v>
      </c>
      <c r="B214" s="3" t="s">
        <v>80</v>
      </c>
      <c r="C214" s="3" t="s">
        <v>11</v>
      </c>
      <c r="D214" s="3" t="s">
        <v>1029</v>
      </c>
      <c r="E214" s="3" t="s">
        <v>1030</v>
      </c>
      <c r="F214" s="3" t="s">
        <v>1031</v>
      </c>
      <c r="G214" s="3" t="s">
        <v>22</v>
      </c>
      <c r="H214" s="3" t="s">
        <v>2</v>
      </c>
      <c r="I214" s="3" t="s">
        <v>1032</v>
      </c>
      <c r="J214" s="3"/>
      <c r="K214" s="3" t="s">
        <v>19</v>
      </c>
      <c r="L214" s="3" t="s">
        <v>1026</v>
      </c>
      <c r="M214" s="3" t="s">
        <v>109</v>
      </c>
      <c r="N214" s="3" t="s">
        <v>1033</v>
      </c>
    </row>
    <row r="215" customFormat="false" ht="15" hidden="false" customHeight="true" outlineLevel="0" collapsed="false">
      <c r="A215" s="3" t="s">
        <v>1034</v>
      </c>
      <c r="B215" s="3" t="s">
        <v>80</v>
      </c>
      <c r="C215" s="3" t="s">
        <v>12</v>
      </c>
      <c r="D215" s="3" t="s">
        <v>95</v>
      </c>
      <c r="E215" s="3" t="s">
        <v>1035</v>
      </c>
      <c r="F215" s="3"/>
      <c r="G215" s="3" t="s">
        <v>22</v>
      </c>
      <c r="H215" s="3" t="s">
        <v>2</v>
      </c>
      <c r="I215" s="3" t="s">
        <v>97</v>
      </c>
      <c r="J215" s="3" t="s">
        <v>98</v>
      </c>
      <c r="K215" s="3" t="s">
        <v>19</v>
      </c>
      <c r="L215" s="3" t="s">
        <v>1036</v>
      </c>
      <c r="M215" s="15" t="n">
        <v>46327</v>
      </c>
      <c r="N215" s="3"/>
    </row>
    <row r="216" customFormat="false" ht="15" hidden="false" customHeight="true" outlineLevel="0" collapsed="false">
      <c r="A216" s="3" t="s">
        <v>1037</v>
      </c>
      <c r="B216" s="3" t="s">
        <v>80</v>
      </c>
      <c r="C216" s="3" t="s">
        <v>12</v>
      </c>
      <c r="D216" s="3" t="s">
        <v>1038</v>
      </c>
      <c r="E216" s="3" t="s">
        <v>1039</v>
      </c>
      <c r="F216" s="3"/>
      <c r="G216" s="3" t="s">
        <v>22</v>
      </c>
      <c r="H216" s="3" t="s">
        <v>2</v>
      </c>
      <c r="I216" s="3" t="s">
        <v>1040</v>
      </c>
      <c r="J216" s="3" t="s">
        <v>98</v>
      </c>
      <c r="K216" s="3" t="s">
        <v>19</v>
      </c>
      <c r="L216" s="3" t="s">
        <v>1041</v>
      </c>
      <c r="M216" s="15" t="n">
        <v>46327</v>
      </c>
      <c r="N216" s="3"/>
    </row>
    <row r="217" customFormat="false" ht="15" hidden="false" customHeight="true" outlineLevel="0" collapsed="false">
      <c r="A217" s="3" t="s">
        <v>1042</v>
      </c>
      <c r="B217" s="3" t="s">
        <v>80</v>
      </c>
      <c r="C217" s="3" t="s">
        <v>12</v>
      </c>
      <c r="D217" s="3" t="s">
        <v>279</v>
      </c>
      <c r="E217" s="3" t="s">
        <v>1043</v>
      </c>
      <c r="F217" s="3"/>
      <c r="G217" s="3" t="s">
        <v>22</v>
      </c>
      <c r="H217" s="3" t="s">
        <v>2</v>
      </c>
      <c r="I217" s="3" t="s">
        <v>281</v>
      </c>
      <c r="J217" s="3" t="s">
        <v>98</v>
      </c>
      <c r="K217" s="3" t="s">
        <v>19</v>
      </c>
      <c r="L217" s="3" t="s">
        <v>1044</v>
      </c>
      <c r="M217" s="15" t="n">
        <v>46327</v>
      </c>
      <c r="N217" s="3"/>
    </row>
    <row r="218" customFormat="false" ht="15" hidden="false" customHeight="true" outlineLevel="0" collapsed="false">
      <c r="A218" s="3" t="s">
        <v>1045</v>
      </c>
      <c r="B218" s="3" t="s">
        <v>80</v>
      </c>
      <c r="C218" s="3" t="s">
        <v>12</v>
      </c>
      <c r="D218" s="3" t="s">
        <v>54</v>
      </c>
      <c r="E218" s="3" t="s">
        <v>1046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81</v>
      </c>
      <c r="M218" s="3"/>
      <c r="N218" s="3"/>
    </row>
    <row r="219" customFormat="false" ht="15" hidden="false" customHeight="true" outlineLevel="0" collapsed="false">
      <c r="A219" s="3" t="s">
        <v>1047</v>
      </c>
      <c r="B219" s="3" t="s">
        <v>80</v>
      </c>
      <c r="C219" s="3" t="s">
        <v>12</v>
      </c>
      <c r="D219" s="3" t="s">
        <v>53</v>
      </c>
      <c r="E219" s="3" t="s">
        <v>1048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81</v>
      </c>
      <c r="M219" s="3"/>
      <c r="N219" s="3"/>
    </row>
    <row r="220" customFormat="false" ht="15" hidden="false" customHeight="true" outlineLevel="0" collapsed="false">
      <c r="A220" s="3" t="s">
        <v>1049</v>
      </c>
      <c r="B220" s="3" t="s">
        <v>80</v>
      </c>
      <c r="C220" s="3" t="s">
        <v>12</v>
      </c>
      <c r="D220" s="3" t="s">
        <v>101</v>
      </c>
      <c r="E220" s="3" t="s">
        <v>1050</v>
      </c>
      <c r="F220" s="3"/>
      <c r="G220" s="3" t="s">
        <v>22</v>
      </c>
      <c r="H220" s="3" t="s">
        <v>2</v>
      </c>
      <c r="I220" s="3" t="s">
        <v>97</v>
      </c>
      <c r="J220" s="3" t="s">
        <v>98</v>
      </c>
      <c r="K220" s="3" t="s">
        <v>19</v>
      </c>
      <c r="L220" s="3" t="s">
        <v>1051</v>
      </c>
      <c r="M220" s="15" t="n">
        <v>46327</v>
      </c>
      <c r="N220" s="3"/>
    </row>
    <row r="221" customFormat="false" ht="15" hidden="false" customHeight="true" outlineLevel="0" collapsed="false">
      <c r="A221" s="3" t="s">
        <v>1052</v>
      </c>
      <c r="B221" s="3" t="s">
        <v>80</v>
      </c>
      <c r="C221" s="3" t="s">
        <v>12</v>
      </c>
      <c r="D221" s="3" t="s">
        <v>130</v>
      </c>
      <c r="E221" s="3" t="s">
        <v>1053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81</v>
      </c>
      <c r="M221" s="3"/>
      <c r="N221" s="3"/>
    </row>
    <row r="222" customFormat="false" ht="15" hidden="false" customHeight="true" outlineLevel="0" collapsed="false">
      <c r="A222" s="3" t="s">
        <v>1054</v>
      </c>
      <c r="B222" s="3" t="s">
        <v>80</v>
      </c>
      <c r="C222" s="3" t="s">
        <v>12</v>
      </c>
      <c r="D222" s="3" t="s">
        <v>133</v>
      </c>
      <c r="E222" s="3" t="s">
        <v>1055</v>
      </c>
      <c r="F222" s="3"/>
      <c r="G222" s="3" t="s">
        <v>22</v>
      </c>
      <c r="H222" s="3" t="s">
        <v>2</v>
      </c>
      <c r="I222" s="3" t="s">
        <v>97</v>
      </c>
      <c r="J222" s="3" t="s">
        <v>98</v>
      </c>
      <c r="K222" s="3" t="s">
        <v>19</v>
      </c>
      <c r="L222" s="3" t="s">
        <v>1056</v>
      </c>
      <c r="M222" s="15" t="n">
        <v>46327</v>
      </c>
      <c r="N222" s="3" t="s">
        <v>1057</v>
      </c>
    </row>
    <row r="223" customFormat="false" ht="15" hidden="false" customHeight="true" outlineLevel="0" collapsed="false">
      <c r="A223" s="3" t="s">
        <v>1058</v>
      </c>
      <c r="B223" s="3" t="s">
        <v>80</v>
      </c>
      <c r="C223" s="3" t="s">
        <v>12</v>
      </c>
      <c r="D223" s="3" t="s">
        <v>143</v>
      </c>
      <c r="E223" s="3" t="s">
        <v>1059</v>
      </c>
      <c r="F223" s="3"/>
      <c r="G223" s="3" t="s">
        <v>22</v>
      </c>
      <c r="H223" s="3" t="s">
        <v>2</v>
      </c>
      <c r="I223" s="3" t="s">
        <v>97</v>
      </c>
      <c r="J223" s="3" t="s">
        <v>98</v>
      </c>
      <c r="K223" s="3" t="s">
        <v>19</v>
      </c>
      <c r="L223" s="3" t="s">
        <v>1060</v>
      </c>
      <c r="M223" s="15" t="n">
        <v>46327</v>
      </c>
      <c r="N223" s="3"/>
    </row>
    <row r="224" customFormat="false" ht="15" hidden="false" customHeight="true" outlineLevel="0" collapsed="false">
      <c r="A224" s="3" t="s">
        <v>1061</v>
      </c>
      <c r="B224" s="3" t="s">
        <v>80</v>
      </c>
      <c r="C224" s="3" t="s">
        <v>12</v>
      </c>
      <c r="D224" s="3" t="s">
        <v>148</v>
      </c>
      <c r="E224" s="3" t="s">
        <v>1062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81</v>
      </c>
      <c r="M224" s="3"/>
      <c r="N224" s="3"/>
    </row>
    <row r="225" customFormat="false" ht="15" hidden="false" customHeight="true" outlineLevel="0" collapsed="false">
      <c r="A225" s="3" t="s">
        <v>1063</v>
      </c>
      <c r="B225" s="3" t="s">
        <v>80</v>
      </c>
      <c r="C225" s="3" t="s">
        <v>12</v>
      </c>
      <c r="D225" s="3" t="s">
        <v>355</v>
      </c>
      <c r="E225" s="3" t="s">
        <v>1064</v>
      </c>
      <c r="F225" s="3"/>
      <c r="G225" s="3" t="s">
        <v>22</v>
      </c>
      <c r="H225" s="3" t="s">
        <v>2</v>
      </c>
      <c r="I225" s="3" t="s">
        <v>97</v>
      </c>
      <c r="J225" s="3" t="s">
        <v>98</v>
      </c>
      <c r="K225" s="3" t="s">
        <v>19</v>
      </c>
      <c r="L225" s="3" t="s">
        <v>1065</v>
      </c>
      <c r="M225" s="15" t="n">
        <v>46327</v>
      </c>
      <c r="N225" s="3"/>
    </row>
    <row r="226" customFormat="false" ht="15" hidden="false" customHeight="true" outlineLevel="0" collapsed="false">
      <c r="A226" s="3" t="s">
        <v>1066</v>
      </c>
      <c r="B226" s="3" t="s">
        <v>80</v>
      </c>
      <c r="C226" s="3" t="s">
        <v>12</v>
      </c>
      <c r="D226" s="3" t="s">
        <v>101</v>
      </c>
      <c r="E226" s="3" t="s">
        <v>1067</v>
      </c>
      <c r="F226" s="3"/>
      <c r="G226" s="3" t="s">
        <v>22</v>
      </c>
      <c r="H226" s="3" t="s">
        <v>2</v>
      </c>
      <c r="I226" s="3" t="s">
        <v>1040</v>
      </c>
      <c r="J226" s="3" t="s">
        <v>98</v>
      </c>
      <c r="K226" s="3" t="s">
        <v>19</v>
      </c>
      <c r="L226" s="3" t="s">
        <v>1068</v>
      </c>
      <c r="M226" s="15" t="n">
        <v>46327</v>
      </c>
      <c r="N226" s="3"/>
    </row>
    <row r="227" customFormat="false" ht="15" hidden="false" customHeight="true" outlineLevel="0" collapsed="false">
      <c r="A227" s="3" t="s">
        <v>1069</v>
      </c>
      <c r="B227" s="3" t="s">
        <v>80</v>
      </c>
      <c r="C227" s="3" t="s">
        <v>11</v>
      </c>
      <c r="D227" s="3" t="s">
        <v>101</v>
      </c>
      <c r="E227" s="3" t="s">
        <v>1070</v>
      </c>
      <c r="F227" s="3" t="s">
        <v>1071</v>
      </c>
      <c r="G227" s="3" t="s">
        <v>22</v>
      </c>
      <c r="H227" s="3" t="s">
        <v>3</v>
      </c>
      <c r="I227" s="3" t="s">
        <v>1072</v>
      </c>
      <c r="J227" s="3" t="s">
        <v>1073</v>
      </c>
      <c r="K227" s="3" t="s">
        <v>17</v>
      </c>
      <c r="L227" s="3" t="s">
        <v>1074</v>
      </c>
      <c r="M227" s="3" t="s">
        <v>109</v>
      </c>
      <c r="N227" s="3"/>
    </row>
    <row r="228" customFormat="false" ht="15" hidden="false" customHeight="true" outlineLevel="0" collapsed="false">
      <c r="A228" s="3" t="s">
        <v>1075</v>
      </c>
      <c r="B228" s="3" t="s">
        <v>80</v>
      </c>
      <c r="C228" s="3" t="s">
        <v>13</v>
      </c>
      <c r="D228" s="3" t="s">
        <v>1076</v>
      </c>
      <c r="E228" s="3" t="s">
        <v>1077</v>
      </c>
      <c r="F228" s="3"/>
      <c r="G228" s="3" t="s">
        <v>22</v>
      </c>
      <c r="H228" s="3" t="s">
        <v>2</v>
      </c>
      <c r="I228" s="3" t="s">
        <v>1078</v>
      </c>
      <c r="J228" s="3" t="s">
        <v>98</v>
      </c>
      <c r="K228" s="3" t="s">
        <v>19</v>
      </c>
      <c r="L228" s="3" t="s">
        <v>1079</v>
      </c>
      <c r="M228" s="15" t="n">
        <v>46327</v>
      </c>
      <c r="N228" s="3"/>
    </row>
    <row r="229" customFormat="false" ht="15" hidden="false" customHeight="true" outlineLevel="0" collapsed="false">
      <c r="A229" s="3" t="s">
        <v>1080</v>
      </c>
      <c r="B229" s="3" t="s">
        <v>80</v>
      </c>
      <c r="C229" s="3" t="s">
        <v>12</v>
      </c>
      <c r="D229" s="3" t="s">
        <v>1081</v>
      </c>
      <c r="E229" s="3" t="s">
        <v>1082</v>
      </c>
      <c r="F229" s="3"/>
      <c r="G229" s="3" t="s">
        <v>22</v>
      </c>
      <c r="H229" s="3" t="s">
        <v>2</v>
      </c>
      <c r="I229" s="3" t="s">
        <v>1078</v>
      </c>
      <c r="J229" s="3" t="s">
        <v>98</v>
      </c>
      <c r="K229" s="3" t="s">
        <v>19</v>
      </c>
      <c r="L229" s="3" t="s">
        <v>1083</v>
      </c>
      <c r="M229" s="15" t="n">
        <v>46327</v>
      </c>
      <c r="N229" s="3" t="s">
        <v>1084</v>
      </c>
    </row>
    <row r="230" customFormat="false" ht="15" hidden="false" customHeight="true" outlineLevel="0" collapsed="false">
      <c r="A230" s="3" t="s">
        <v>1085</v>
      </c>
      <c r="B230" s="3" t="s">
        <v>80</v>
      </c>
      <c r="C230" s="3" t="s">
        <v>12</v>
      </c>
      <c r="D230" s="3" t="s">
        <v>1086</v>
      </c>
      <c r="E230" s="3" t="s">
        <v>1087</v>
      </c>
      <c r="F230" s="3"/>
      <c r="G230" s="3" t="s">
        <v>22</v>
      </c>
      <c r="H230" s="3" t="s">
        <v>2</v>
      </c>
      <c r="I230" s="3" t="s">
        <v>1078</v>
      </c>
      <c r="J230" s="3" t="s">
        <v>98</v>
      </c>
      <c r="K230" s="3" t="s">
        <v>19</v>
      </c>
      <c r="L230" s="3" t="s">
        <v>1088</v>
      </c>
      <c r="M230" s="15" t="n">
        <v>46327</v>
      </c>
      <c r="N230" s="3"/>
    </row>
    <row r="231" customFormat="false" ht="15" hidden="false" customHeight="true" outlineLevel="0" collapsed="false">
      <c r="A231" s="3" t="s">
        <v>1089</v>
      </c>
      <c r="B231" s="3" t="s">
        <v>80</v>
      </c>
      <c r="C231" s="3" t="s">
        <v>12</v>
      </c>
      <c r="D231" s="3" t="s">
        <v>1090</v>
      </c>
      <c r="E231" s="3" t="s">
        <v>1091</v>
      </c>
      <c r="F231" s="3"/>
      <c r="G231" s="3" t="s">
        <v>22</v>
      </c>
      <c r="H231" s="3" t="s">
        <v>2</v>
      </c>
      <c r="I231" s="3" t="s">
        <v>1078</v>
      </c>
      <c r="J231" s="3" t="s">
        <v>98</v>
      </c>
      <c r="K231" s="3" t="s">
        <v>19</v>
      </c>
      <c r="L231" s="3" t="s">
        <v>1092</v>
      </c>
      <c r="M231" s="15" t="n">
        <v>46327</v>
      </c>
      <c r="N231" s="3"/>
    </row>
    <row r="232" customFormat="false" ht="15" hidden="false" customHeight="true" outlineLevel="0" collapsed="false">
      <c r="A232" s="3" t="s">
        <v>1093</v>
      </c>
      <c r="B232" s="3" t="s">
        <v>80</v>
      </c>
      <c r="C232" s="3" t="s">
        <v>12</v>
      </c>
      <c r="D232" s="3" t="s">
        <v>101</v>
      </c>
      <c r="E232" s="3" t="s">
        <v>1094</v>
      </c>
      <c r="F232" s="3"/>
      <c r="G232" s="3" t="s">
        <v>22</v>
      </c>
      <c r="H232" s="3" t="s">
        <v>2</v>
      </c>
      <c r="I232" s="3" t="s">
        <v>1078</v>
      </c>
      <c r="J232" s="3" t="s">
        <v>98</v>
      </c>
      <c r="K232" s="3" t="s">
        <v>19</v>
      </c>
      <c r="L232" s="3" t="s">
        <v>1095</v>
      </c>
      <c r="M232" s="15" t="n">
        <v>46327</v>
      </c>
      <c r="N232" s="3"/>
    </row>
    <row r="233" customFormat="false" ht="15" hidden="false" customHeight="true" outlineLevel="0" collapsed="false">
      <c r="A233" s="3" t="s">
        <v>1096</v>
      </c>
      <c r="B233" s="3" t="s">
        <v>80</v>
      </c>
      <c r="C233" s="3" t="s">
        <v>12</v>
      </c>
      <c r="D233" s="3" t="s">
        <v>1097</v>
      </c>
      <c r="E233" s="3" t="s">
        <v>1098</v>
      </c>
      <c r="F233" s="3"/>
      <c r="G233" s="3" t="s">
        <v>22</v>
      </c>
      <c r="H233" s="3" t="s">
        <v>2</v>
      </c>
      <c r="I233" s="3" t="s">
        <v>1078</v>
      </c>
      <c r="J233" s="3" t="s">
        <v>98</v>
      </c>
      <c r="K233" s="3" t="s">
        <v>19</v>
      </c>
      <c r="L233" s="3" t="s">
        <v>1099</v>
      </c>
      <c r="M233" s="15" t="n">
        <v>46327</v>
      </c>
      <c r="N233" s="3"/>
    </row>
    <row r="234" customFormat="false" ht="15" hidden="false" customHeight="true" outlineLevel="0" collapsed="false">
      <c r="A234" s="3" t="s">
        <v>1100</v>
      </c>
      <c r="B234" s="3" t="s">
        <v>80</v>
      </c>
      <c r="C234" s="3" t="s">
        <v>12</v>
      </c>
      <c r="D234" s="3" t="s">
        <v>346</v>
      </c>
      <c r="E234" s="3" t="s">
        <v>1101</v>
      </c>
      <c r="F234" s="3"/>
      <c r="G234" s="3" t="s">
        <v>22</v>
      </c>
      <c r="H234" s="3" t="s">
        <v>2</v>
      </c>
      <c r="I234" s="3" t="s">
        <v>348</v>
      </c>
      <c r="J234" s="3"/>
      <c r="K234" s="3" t="s">
        <v>17</v>
      </c>
      <c r="L234" s="3"/>
      <c r="M234" s="3" t="s">
        <v>109</v>
      </c>
      <c r="N234" s="3" t="s">
        <v>1102</v>
      </c>
    </row>
    <row r="235" customFormat="false" ht="15" hidden="false" customHeight="true" outlineLevel="0" collapsed="false">
      <c r="A235" s="3" t="s">
        <v>1103</v>
      </c>
      <c r="B235" s="3" t="s">
        <v>80</v>
      </c>
      <c r="C235" s="3" t="s">
        <v>12</v>
      </c>
      <c r="D235" s="3" t="s">
        <v>351</v>
      </c>
      <c r="E235" s="3" t="s">
        <v>1104</v>
      </c>
      <c r="F235" s="3"/>
      <c r="G235" s="3" t="s">
        <v>22</v>
      </c>
      <c r="H235" s="3" t="s">
        <v>2</v>
      </c>
      <c r="I235" s="3" t="s">
        <v>348</v>
      </c>
      <c r="J235" s="3"/>
      <c r="K235" s="3" t="s">
        <v>17</v>
      </c>
      <c r="L235" s="3"/>
      <c r="M235" s="3" t="s">
        <v>109</v>
      </c>
      <c r="N235" s="3" t="s">
        <v>1105</v>
      </c>
    </row>
    <row r="236" customFormat="false" ht="15" hidden="false" customHeight="true" outlineLevel="0" collapsed="false">
      <c r="A236" s="3" t="s">
        <v>1106</v>
      </c>
      <c r="B236" s="3" t="s">
        <v>80</v>
      </c>
      <c r="C236" s="3" t="s">
        <v>12</v>
      </c>
      <c r="D236" s="3" t="s">
        <v>1107</v>
      </c>
      <c r="E236" s="3" t="s">
        <v>1108</v>
      </c>
      <c r="F236" s="3"/>
      <c r="G236" s="3" t="s">
        <v>22</v>
      </c>
      <c r="H236" s="3" t="s">
        <v>2</v>
      </c>
      <c r="I236" s="3" t="s">
        <v>1078</v>
      </c>
      <c r="J236" s="3" t="s">
        <v>98</v>
      </c>
      <c r="K236" s="3" t="s">
        <v>19</v>
      </c>
      <c r="L236" s="3" t="s">
        <v>1109</v>
      </c>
      <c r="M236" s="15" t="n">
        <v>46327</v>
      </c>
      <c r="N236" s="3"/>
    </row>
    <row r="237" customFormat="false" ht="15" hidden="false" customHeight="true" outlineLevel="0" collapsed="false">
      <c r="A237" s="3" t="s">
        <v>1110</v>
      </c>
      <c r="B237" s="3" t="s">
        <v>80</v>
      </c>
      <c r="C237" s="3" t="s">
        <v>12</v>
      </c>
      <c r="D237" s="3" t="s">
        <v>101</v>
      </c>
      <c r="E237" s="3" t="s">
        <v>1111</v>
      </c>
      <c r="F237" s="3"/>
      <c r="G237" s="3" t="s">
        <v>22</v>
      </c>
      <c r="H237" s="3" t="s">
        <v>2</v>
      </c>
      <c r="I237" s="3" t="s">
        <v>1078</v>
      </c>
      <c r="J237" s="3" t="s">
        <v>98</v>
      </c>
      <c r="K237" s="3" t="s">
        <v>19</v>
      </c>
      <c r="L237" s="3" t="s">
        <v>1112</v>
      </c>
      <c r="M237" s="15" t="n">
        <v>46327</v>
      </c>
      <c r="N237" s="3"/>
    </row>
    <row r="238" customFormat="false" ht="15" hidden="false" customHeight="true" outlineLevel="0" collapsed="false">
      <c r="A238" s="3" t="s">
        <v>1113</v>
      </c>
      <c r="B238" s="3" t="s">
        <v>80</v>
      </c>
      <c r="C238" s="3" t="s">
        <v>12</v>
      </c>
      <c r="D238" s="3" t="s">
        <v>101</v>
      </c>
      <c r="E238" s="3" t="s">
        <v>1114</v>
      </c>
      <c r="F238" s="3"/>
      <c r="G238" s="3" t="s">
        <v>22</v>
      </c>
      <c r="H238" s="3" t="s">
        <v>2</v>
      </c>
      <c r="I238" s="3" t="s">
        <v>103</v>
      </c>
      <c r="J238" s="3" t="s">
        <v>1115</v>
      </c>
      <c r="K238" s="3" t="s">
        <v>19</v>
      </c>
      <c r="L238" s="3" t="s">
        <v>1116</v>
      </c>
      <c r="M238" s="15" t="n">
        <v>46327</v>
      </c>
      <c r="N238" s="3"/>
    </row>
    <row r="239" customFormat="false" ht="15" hidden="false" customHeight="true" outlineLevel="0" collapsed="false">
      <c r="A239" s="3" t="s">
        <v>1117</v>
      </c>
      <c r="B239" s="3" t="s">
        <v>80</v>
      </c>
      <c r="C239" s="3" t="s">
        <v>12</v>
      </c>
      <c r="D239" s="3" t="s">
        <v>106</v>
      </c>
      <c r="E239" s="3" t="s">
        <v>1118</v>
      </c>
      <c r="F239" s="3"/>
      <c r="G239" s="3" t="s">
        <v>22</v>
      </c>
      <c r="H239" s="3" t="s">
        <v>2</v>
      </c>
      <c r="I239" s="3" t="s">
        <v>108</v>
      </c>
      <c r="J239" s="3"/>
      <c r="K239" s="3" t="s">
        <v>17</v>
      </c>
      <c r="L239" s="3"/>
      <c r="M239" s="3" t="s">
        <v>109</v>
      </c>
      <c r="N239" s="3" t="s">
        <v>1119</v>
      </c>
    </row>
    <row r="240" customFormat="false" ht="15" hidden="false" customHeight="true" outlineLevel="0" collapsed="false">
      <c r="A240" s="3" t="s">
        <v>1120</v>
      </c>
      <c r="B240" s="3" t="s">
        <v>80</v>
      </c>
      <c r="C240" s="3" t="s">
        <v>12</v>
      </c>
      <c r="D240" s="3" t="s">
        <v>112</v>
      </c>
      <c r="E240" s="3" t="s">
        <v>1121</v>
      </c>
      <c r="F240" s="3"/>
      <c r="G240" s="3" t="s">
        <v>22</v>
      </c>
      <c r="H240" s="3" t="s">
        <v>2</v>
      </c>
      <c r="I240" s="3" t="s">
        <v>114</v>
      </c>
      <c r="J240" s="3"/>
      <c r="K240" s="3" t="s">
        <v>17</v>
      </c>
      <c r="L240" s="3"/>
      <c r="M240" s="3" t="s">
        <v>109</v>
      </c>
      <c r="N240" s="3" t="s">
        <v>311</v>
      </c>
    </row>
    <row r="241" customFormat="false" ht="15" hidden="false" customHeight="true" outlineLevel="0" collapsed="false">
      <c r="A241" s="3" t="s">
        <v>1122</v>
      </c>
      <c r="B241" s="3" t="s">
        <v>80</v>
      </c>
      <c r="C241" s="3" t="s">
        <v>12</v>
      </c>
      <c r="D241" s="3" t="s">
        <v>101</v>
      </c>
      <c r="E241" s="3" t="s">
        <v>1123</v>
      </c>
      <c r="F241" s="3"/>
      <c r="G241" s="3" t="s">
        <v>22</v>
      </c>
      <c r="H241" s="3" t="s">
        <v>2</v>
      </c>
      <c r="I241" s="3" t="s">
        <v>1124</v>
      </c>
      <c r="J241" s="3" t="s">
        <v>98</v>
      </c>
      <c r="K241" s="3" t="s">
        <v>19</v>
      </c>
      <c r="L241" s="3" t="s">
        <v>1125</v>
      </c>
      <c r="M241" s="15" t="n">
        <v>46327</v>
      </c>
      <c r="N241" s="3"/>
    </row>
    <row r="242" customFormat="false" ht="15" hidden="false" customHeight="true" outlineLevel="0" collapsed="false">
      <c r="A242" s="3" t="s">
        <v>1126</v>
      </c>
      <c r="B242" s="3" t="s">
        <v>80</v>
      </c>
      <c r="C242" s="3" t="s">
        <v>13</v>
      </c>
      <c r="D242" s="3" t="s">
        <v>53</v>
      </c>
      <c r="E242" s="3" t="s">
        <v>1127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81</v>
      </c>
      <c r="M242" s="3"/>
      <c r="N242" s="3"/>
    </row>
    <row r="243" customFormat="false" ht="15" hidden="false" customHeight="true" outlineLevel="0" collapsed="false">
      <c r="A243" s="3" t="s">
        <v>1128</v>
      </c>
      <c r="B243" s="3" t="s">
        <v>80</v>
      </c>
      <c r="C243" s="3" t="s">
        <v>13</v>
      </c>
      <c r="D243" s="3" t="s">
        <v>101</v>
      </c>
      <c r="E243" s="3" t="s">
        <v>1129</v>
      </c>
      <c r="F243" s="3"/>
      <c r="G243" s="3" t="s">
        <v>22</v>
      </c>
      <c r="H243" s="3" t="s">
        <v>2</v>
      </c>
      <c r="I243" s="3" t="s">
        <v>1130</v>
      </c>
      <c r="J243" s="3" t="s">
        <v>98</v>
      </c>
      <c r="K243" s="3" t="s">
        <v>19</v>
      </c>
      <c r="L243" s="3" t="s">
        <v>1131</v>
      </c>
      <c r="M243" s="15" t="n">
        <v>46327</v>
      </c>
      <c r="N243" s="3"/>
    </row>
    <row r="244" customFormat="false" ht="15" hidden="false" customHeight="true" outlineLevel="0" collapsed="false">
      <c r="A244" s="3" t="s">
        <v>1132</v>
      </c>
      <c r="B244" s="3" t="s">
        <v>80</v>
      </c>
      <c r="C244" s="3" t="s">
        <v>13</v>
      </c>
      <c r="D244" s="3" t="s">
        <v>188</v>
      </c>
      <c r="E244" s="3" t="s">
        <v>1133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 t="s">
        <v>1134</v>
      </c>
    </row>
    <row r="245" customFormat="false" ht="15" hidden="false" customHeight="true" outlineLevel="0" collapsed="false">
      <c r="A245" s="3" t="s">
        <v>1135</v>
      </c>
      <c r="B245" s="3" t="s">
        <v>80</v>
      </c>
      <c r="C245" s="3" t="s">
        <v>13</v>
      </c>
      <c r="D245" s="3" t="s">
        <v>191</v>
      </c>
      <c r="E245" s="3" t="s">
        <v>1136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 t="s">
        <v>1134</v>
      </c>
    </row>
    <row r="246" customFormat="false" ht="15" hidden="false" customHeight="true" outlineLevel="0" collapsed="false">
      <c r="A246" s="3" t="s">
        <v>1137</v>
      </c>
      <c r="B246" s="3" t="s">
        <v>80</v>
      </c>
      <c r="C246" s="3" t="s">
        <v>13</v>
      </c>
      <c r="D246" s="3" t="s">
        <v>214</v>
      </c>
      <c r="E246" s="3" t="s">
        <v>1138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 t="s">
        <v>1134</v>
      </c>
    </row>
    <row r="247" customFormat="false" ht="15" hidden="false" customHeight="true" outlineLevel="0" collapsed="false">
      <c r="A247" s="3" t="s">
        <v>1139</v>
      </c>
      <c r="B247" s="3" t="s">
        <v>80</v>
      </c>
      <c r="C247" s="3" t="s">
        <v>13</v>
      </c>
      <c r="D247" s="3" t="s">
        <v>130</v>
      </c>
      <c r="E247" s="3" t="s">
        <v>1140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81</v>
      </c>
      <c r="M247" s="3"/>
      <c r="N247" s="3"/>
    </row>
    <row r="248" customFormat="false" ht="15" hidden="false" customHeight="true" outlineLevel="0" collapsed="false">
      <c r="A248" s="3" t="s">
        <v>1141</v>
      </c>
      <c r="B248" s="3" t="s">
        <v>80</v>
      </c>
      <c r="C248" s="3" t="s">
        <v>13</v>
      </c>
      <c r="D248" s="3" t="s">
        <v>258</v>
      </c>
      <c r="E248" s="3" t="s">
        <v>1142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 t="s">
        <v>1134</v>
      </c>
    </row>
    <row r="249" customFormat="false" ht="15" hidden="false" customHeight="true" outlineLevel="0" collapsed="false">
      <c r="A249" s="3" t="s">
        <v>1143</v>
      </c>
      <c r="B249" s="3" t="s">
        <v>80</v>
      </c>
      <c r="C249" s="3" t="s">
        <v>13</v>
      </c>
      <c r="D249" s="3" t="s">
        <v>261</v>
      </c>
      <c r="E249" s="3" t="s">
        <v>1144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81</v>
      </c>
      <c r="M249" s="3"/>
      <c r="N249" s="3" t="s">
        <v>1134</v>
      </c>
    </row>
    <row r="250" customFormat="false" ht="15" hidden="false" customHeight="true" outlineLevel="0" collapsed="false">
      <c r="A250" s="3" t="s">
        <v>1145</v>
      </c>
      <c r="B250" s="3" t="s">
        <v>80</v>
      </c>
      <c r="C250" s="3" t="s">
        <v>13</v>
      </c>
      <c r="D250" s="3" t="s">
        <v>264</v>
      </c>
      <c r="E250" s="3" t="s">
        <v>1146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81</v>
      </c>
      <c r="M250" s="3"/>
      <c r="N250" s="3" t="s">
        <v>1134</v>
      </c>
    </row>
    <row r="251" customFormat="false" ht="15" hidden="false" customHeight="true" outlineLevel="0" collapsed="false">
      <c r="A251" s="3" t="s">
        <v>1147</v>
      </c>
      <c r="B251" s="3" t="s">
        <v>80</v>
      </c>
      <c r="C251" s="3" t="s">
        <v>13</v>
      </c>
      <c r="D251" s="3" t="s">
        <v>196</v>
      </c>
      <c r="E251" s="3" t="s">
        <v>1148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81</v>
      </c>
      <c r="M251" s="3"/>
      <c r="N251" s="3"/>
    </row>
    <row r="252" customFormat="false" ht="15" hidden="false" customHeight="true" outlineLevel="0" collapsed="false">
      <c r="A252" s="3" t="s">
        <v>1149</v>
      </c>
      <c r="B252" s="3" t="s">
        <v>80</v>
      </c>
      <c r="C252" s="3" t="s">
        <v>13</v>
      </c>
      <c r="D252" s="3" t="s">
        <v>148</v>
      </c>
      <c r="E252" s="3" t="s">
        <v>1150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81</v>
      </c>
      <c r="M252" s="3"/>
      <c r="N252" s="3"/>
    </row>
    <row r="253" customFormat="false" ht="15" hidden="false" customHeight="true" outlineLevel="0" collapsed="false">
      <c r="A253" s="3" t="s">
        <v>1151</v>
      </c>
      <c r="B253" s="3" t="s">
        <v>80</v>
      </c>
      <c r="C253" s="3" t="s">
        <v>13</v>
      </c>
      <c r="D253" s="3" t="s">
        <v>274</v>
      </c>
      <c r="E253" s="3" t="s">
        <v>1152</v>
      </c>
      <c r="F253" s="3"/>
      <c r="G253" s="3" t="s">
        <v>22</v>
      </c>
      <c r="H253" s="3" t="s">
        <v>2</v>
      </c>
      <c r="I253" s="3" t="s">
        <v>1130</v>
      </c>
      <c r="J253" s="3" t="s">
        <v>1153</v>
      </c>
      <c r="K253" s="3" t="s">
        <v>19</v>
      </c>
      <c r="L253" s="3" t="s">
        <v>1154</v>
      </c>
      <c r="M253" s="15" t="n">
        <v>46327</v>
      </c>
      <c r="N253" s="3"/>
    </row>
    <row r="254" customFormat="false" ht="15" hidden="false" customHeight="true" outlineLevel="0" collapsed="false">
      <c r="A254" s="3" t="s">
        <v>1155</v>
      </c>
      <c r="B254" s="3" t="s">
        <v>80</v>
      </c>
      <c r="C254" s="3" t="s">
        <v>12</v>
      </c>
      <c r="D254" s="3" t="s">
        <v>53</v>
      </c>
      <c r="E254" s="3" t="s">
        <v>1156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81</v>
      </c>
      <c r="M254" s="3"/>
      <c r="N254" s="3"/>
    </row>
    <row r="255" customFormat="false" ht="15" hidden="false" customHeight="true" outlineLevel="0" collapsed="false">
      <c r="A255" s="3" t="s">
        <v>1157</v>
      </c>
      <c r="B255" s="3" t="s">
        <v>80</v>
      </c>
      <c r="C255" s="3" t="s">
        <v>12</v>
      </c>
      <c r="D255" s="3" t="s">
        <v>101</v>
      </c>
      <c r="E255" s="3" t="s">
        <v>1158</v>
      </c>
      <c r="F255" s="3"/>
      <c r="G255" s="3" t="s">
        <v>22</v>
      </c>
      <c r="H255" s="3" t="s">
        <v>6</v>
      </c>
      <c r="I255" s="3" t="s">
        <v>292</v>
      </c>
      <c r="J255" s="3" t="s">
        <v>98</v>
      </c>
      <c r="K255" s="3" t="s">
        <v>17</v>
      </c>
      <c r="L255" s="3" t="s">
        <v>1159</v>
      </c>
      <c r="M255" s="15" t="n">
        <v>46327</v>
      </c>
      <c r="N255" s="3" t="s">
        <v>294</v>
      </c>
    </row>
    <row r="256" customFormat="false" ht="15" hidden="false" customHeight="true" outlineLevel="0" collapsed="false">
      <c r="A256" s="3" t="s">
        <v>1160</v>
      </c>
      <c r="B256" s="3" t="s">
        <v>80</v>
      </c>
      <c r="C256" s="3" t="s">
        <v>12</v>
      </c>
      <c r="D256" s="3" t="s">
        <v>296</v>
      </c>
      <c r="E256" s="3" t="s">
        <v>1161</v>
      </c>
      <c r="F256" s="3"/>
      <c r="G256" s="3" t="s">
        <v>22</v>
      </c>
      <c r="H256" s="3" t="s">
        <v>2</v>
      </c>
      <c r="I256" s="3" t="s">
        <v>298</v>
      </c>
      <c r="J256" s="3"/>
      <c r="K256" s="3" t="s">
        <v>17</v>
      </c>
      <c r="L256" s="3" t="s">
        <v>81</v>
      </c>
      <c r="M256" s="3" t="s">
        <v>109</v>
      </c>
      <c r="N256" s="3" t="s">
        <v>1162</v>
      </c>
    </row>
    <row r="257" customFormat="false" ht="15" hidden="false" customHeight="true" outlineLevel="0" collapsed="false">
      <c r="A257" s="3" t="s">
        <v>1163</v>
      </c>
      <c r="B257" s="3" t="s">
        <v>80</v>
      </c>
      <c r="C257" s="3" t="s">
        <v>12</v>
      </c>
      <c r="D257" s="3" t="s">
        <v>191</v>
      </c>
      <c r="E257" s="3" t="s">
        <v>1164</v>
      </c>
      <c r="F257" s="3"/>
      <c r="G257" s="3" t="s">
        <v>22</v>
      </c>
      <c r="H257" s="3" t="s">
        <v>6</v>
      </c>
      <c r="I257" s="3" t="s">
        <v>145</v>
      </c>
      <c r="J257" s="3"/>
      <c r="K257" s="3" t="s">
        <v>17</v>
      </c>
      <c r="L257" s="3"/>
      <c r="M257" s="3" t="s">
        <v>109</v>
      </c>
      <c r="N257" s="3" t="s">
        <v>1165</v>
      </c>
    </row>
    <row r="258" customFormat="false" ht="15" hidden="false" customHeight="true" outlineLevel="0" collapsed="false">
      <c r="A258" s="3" t="s">
        <v>1166</v>
      </c>
      <c r="B258" s="3" t="s">
        <v>80</v>
      </c>
      <c r="C258" s="3" t="s">
        <v>12</v>
      </c>
      <c r="D258" s="3" t="s">
        <v>130</v>
      </c>
      <c r="E258" s="3" t="s">
        <v>1167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81</v>
      </c>
      <c r="M258" s="3"/>
      <c r="N258" s="3"/>
    </row>
    <row r="259" customFormat="false" ht="15" hidden="false" customHeight="true" outlineLevel="0" collapsed="false">
      <c r="A259" s="3" t="s">
        <v>1168</v>
      </c>
      <c r="B259" s="3" t="s">
        <v>80</v>
      </c>
      <c r="C259" s="3" t="s">
        <v>12</v>
      </c>
      <c r="D259" s="3" t="s">
        <v>106</v>
      </c>
      <c r="E259" s="3" t="s">
        <v>1169</v>
      </c>
      <c r="F259" s="3"/>
      <c r="G259" s="3" t="s">
        <v>22</v>
      </c>
      <c r="H259" s="3" t="s">
        <v>2</v>
      </c>
      <c r="I259" s="3" t="s">
        <v>307</v>
      </c>
      <c r="J259" s="3"/>
      <c r="K259" s="3" t="s">
        <v>17</v>
      </c>
      <c r="L259" s="3"/>
      <c r="M259" s="3" t="s">
        <v>109</v>
      </c>
      <c r="N259" s="3" t="s">
        <v>1170</v>
      </c>
    </row>
    <row r="260" customFormat="false" ht="15" hidden="false" customHeight="true" outlineLevel="0" collapsed="false">
      <c r="A260" s="3" t="s">
        <v>1171</v>
      </c>
      <c r="B260" s="3" t="s">
        <v>80</v>
      </c>
      <c r="C260" s="3" t="s">
        <v>12</v>
      </c>
      <c r="D260" s="3" t="s">
        <v>112</v>
      </c>
      <c r="E260" s="3" t="s">
        <v>1172</v>
      </c>
      <c r="F260" s="3"/>
      <c r="G260" s="3" t="s">
        <v>22</v>
      </c>
      <c r="H260" s="3" t="s">
        <v>2</v>
      </c>
      <c r="I260" s="3" t="s">
        <v>114</v>
      </c>
      <c r="J260" s="3"/>
      <c r="K260" s="3" t="s">
        <v>17</v>
      </c>
      <c r="L260" s="3"/>
      <c r="M260" s="3" t="s">
        <v>109</v>
      </c>
      <c r="N260" s="3" t="s">
        <v>311</v>
      </c>
    </row>
    <row r="261" customFormat="false" ht="15" hidden="false" customHeight="true" outlineLevel="0" collapsed="false">
      <c r="A261" s="3" t="s">
        <v>1173</v>
      </c>
      <c r="B261" s="3" t="s">
        <v>80</v>
      </c>
      <c r="C261" s="3" t="s">
        <v>12</v>
      </c>
      <c r="D261" s="3" t="s">
        <v>148</v>
      </c>
      <c r="E261" s="3" t="s">
        <v>1174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81</v>
      </c>
      <c r="M261" s="3"/>
      <c r="N261" s="3"/>
    </row>
    <row r="262" customFormat="false" ht="15" hidden="false" customHeight="true" outlineLevel="0" collapsed="false">
      <c r="A262" s="3" t="s">
        <v>1175</v>
      </c>
      <c r="B262" s="3" t="s">
        <v>80</v>
      </c>
      <c r="C262" s="3" t="s">
        <v>12</v>
      </c>
      <c r="D262" s="3" t="s">
        <v>54</v>
      </c>
      <c r="E262" s="3" t="s">
        <v>1176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81</v>
      </c>
      <c r="M262" s="3"/>
      <c r="N262" s="3"/>
    </row>
    <row r="263" customFormat="false" ht="15" hidden="false" customHeight="true" outlineLevel="0" collapsed="false">
      <c r="A263" s="3" t="s">
        <v>1177</v>
      </c>
      <c r="B263" s="3" t="s">
        <v>80</v>
      </c>
      <c r="C263" s="3" t="s">
        <v>12</v>
      </c>
      <c r="D263" s="3" t="s">
        <v>53</v>
      </c>
      <c r="E263" s="3" t="s">
        <v>1178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81</v>
      </c>
      <c r="M263" s="3"/>
      <c r="N263" s="3"/>
    </row>
    <row r="264" customFormat="false" ht="15" hidden="false" customHeight="true" outlineLevel="0" collapsed="false">
      <c r="A264" s="3" t="s">
        <v>1179</v>
      </c>
      <c r="B264" s="3" t="s">
        <v>80</v>
      </c>
      <c r="C264" s="3" t="s">
        <v>12</v>
      </c>
      <c r="D264" s="3" t="s">
        <v>101</v>
      </c>
      <c r="E264" s="3" t="s">
        <v>1180</v>
      </c>
      <c r="F264" s="3"/>
      <c r="G264" s="3" t="s">
        <v>22</v>
      </c>
      <c r="H264" s="3" t="s">
        <v>6</v>
      </c>
      <c r="I264" s="3" t="s">
        <v>292</v>
      </c>
      <c r="J264" s="3" t="s">
        <v>98</v>
      </c>
      <c r="K264" s="3" t="s">
        <v>17</v>
      </c>
      <c r="L264" s="3" t="s">
        <v>1159</v>
      </c>
      <c r="M264" s="15" t="n">
        <v>46327</v>
      </c>
      <c r="N264" s="3" t="s">
        <v>294</v>
      </c>
    </row>
    <row r="265" customFormat="false" ht="15" hidden="false" customHeight="true" outlineLevel="0" collapsed="false">
      <c r="A265" s="3" t="s">
        <v>1181</v>
      </c>
      <c r="B265" s="3" t="s">
        <v>80</v>
      </c>
      <c r="C265" s="3" t="s">
        <v>12</v>
      </c>
      <c r="D265" s="3" t="s">
        <v>125</v>
      </c>
      <c r="E265" s="3" t="s">
        <v>1182</v>
      </c>
      <c r="F265" s="3"/>
      <c r="G265" s="3" t="s">
        <v>22</v>
      </c>
      <c r="H265" s="3" t="s">
        <v>2</v>
      </c>
      <c r="I265" s="3" t="s">
        <v>127</v>
      </c>
      <c r="J265" s="3"/>
      <c r="K265" s="3" t="s">
        <v>17</v>
      </c>
      <c r="L265" s="3"/>
      <c r="M265" s="3" t="s">
        <v>109</v>
      </c>
      <c r="N265" s="3" t="s">
        <v>328</v>
      </c>
    </row>
    <row r="266" customFormat="false" ht="15" hidden="false" customHeight="true" outlineLevel="0" collapsed="false">
      <c r="A266" s="3" t="s">
        <v>1183</v>
      </c>
      <c r="B266" s="3" t="s">
        <v>80</v>
      </c>
      <c r="C266" s="3" t="s">
        <v>12</v>
      </c>
      <c r="D266" s="3" t="s">
        <v>130</v>
      </c>
      <c r="E266" s="3" t="s">
        <v>1184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81</v>
      </c>
      <c r="M266" s="3"/>
      <c r="N266" s="3"/>
    </row>
    <row r="267" customFormat="false" ht="15" hidden="false" customHeight="true" outlineLevel="0" collapsed="false">
      <c r="A267" s="3" t="s">
        <v>1185</v>
      </c>
      <c r="B267" s="3" t="s">
        <v>80</v>
      </c>
      <c r="C267" s="3" t="s">
        <v>12</v>
      </c>
      <c r="D267" s="3" t="s">
        <v>133</v>
      </c>
      <c r="E267" s="3" t="s">
        <v>1186</v>
      </c>
      <c r="F267" s="3"/>
      <c r="G267" s="3" t="s">
        <v>22</v>
      </c>
      <c r="H267" s="3" t="s">
        <v>2</v>
      </c>
      <c r="I267" s="3" t="s">
        <v>135</v>
      </c>
      <c r="J267" s="3"/>
      <c r="K267" s="3" t="s">
        <v>17</v>
      </c>
      <c r="L267" s="3"/>
      <c r="M267" s="3" t="s">
        <v>109</v>
      </c>
      <c r="N267" s="3" t="s">
        <v>333</v>
      </c>
    </row>
    <row r="268" customFormat="false" ht="15" hidden="false" customHeight="true" outlineLevel="0" collapsed="false">
      <c r="A268" s="3" t="s">
        <v>1187</v>
      </c>
      <c r="B268" s="3" t="s">
        <v>80</v>
      </c>
      <c r="C268" s="3" t="s">
        <v>12</v>
      </c>
      <c r="D268" s="3" t="s">
        <v>138</v>
      </c>
      <c r="E268" s="3" t="s">
        <v>1188</v>
      </c>
      <c r="F268" s="3"/>
      <c r="G268" s="3" t="s">
        <v>22</v>
      </c>
      <c r="H268" s="3" t="s">
        <v>2</v>
      </c>
      <c r="I268" s="3" t="s">
        <v>140</v>
      </c>
      <c r="J268" s="3"/>
      <c r="K268" s="3" t="s">
        <v>17</v>
      </c>
      <c r="L268" s="3"/>
      <c r="M268" s="3" t="s">
        <v>109</v>
      </c>
      <c r="N268" s="3" t="s">
        <v>336</v>
      </c>
    </row>
    <row r="269" customFormat="false" ht="15" hidden="false" customHeight="true" outlineLevel="0" collapsed="false">
      <c r="A269" s="3" t="s">
        <v>1189</v>
      </c>
      <c r="B269" s="3" t="s">
        <v>80</v>
      </c>
      <c r="C269" s="3" t="s">
        <v>12</v>
      </c>
      <c r="D269" s="3" t="s">
        <v>143</v>
      </c>
      <c r="E269" s="3" t="s">
        <v>1190</v>
      </c>
      <c r="F269" s="3"/>
      <c r="G269" s="3" t="s">
        <v>22</v>
      </c>
      <c r="H269" s="3" t="s">
        <v>6</v>
      </c>
      <c r="I269" s="3" t="s">
        <v>145</v>
      </c>
      <c r="J269" s="3"/>
      <c r="K269" s="3" t="s">
        <v>17</v>
      </c>
      <c r="L269" s="3"/>
      <c r="M269" s="3" t="s">
        <v>109</v>
      </c>
      <c r="N269" s="3" t="s">
        <v>1191</v>
      </c>
    </row>
    <row r="270" customFormat="false" ht="15" hidden="false" customHeight="true" outlineLevel="0" collapsed="false">
      <c r="A270" s="3" t="s">
        <v>1192</v>
      </c>
      <c r="B270" s="3" t="s">
        <v>80</v>
      </c>
      <c r="C270" s="3" t="s">
        <v>12</v>
      </c>
      <c r="D270" s="3" t="s">
        <v>148</v>
      </c>
      <c r="E270" s="3" t="s">
        <v>1193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81</v>
      </c>
      <c r="M270" s="3"/>
      <c r="N270" s="3"/>
    </row>
    <row r="271" customFormat="false" ht="15" hidden="false" customHeight="true" outlineLevel="0" collapsed="false">
      <c r="A271" s="3" t="s">
        <v>1194</v>
      </c>
      <c r="B271" s="3" t="s">
        <v>80</v>
      </c>
      <c r="C271" s="3" t="s">
        <v>12</v>
      </c>
      <c r="D271" s="3" t="s">
        <v>101</v>
      </c>
      <c r="E271" s="3" t="s">
        <v>1195</v>
      </c>
      <c r="F271" s="3"/>
      <c r="G271" s="3" t="s">
        <v>22</v>
      </c>
      <c r="H271" s="3" t="s">
        <v>2</v>
      </c>
      <c r="I271" s="3" t="s">
        <v>292</v>
      </c>
      <c r="J271" s="3" t="s">
        <v>98</v>
      </c>
      <c r="K271" s="3" t="s">
        <v>19</v>
      </c>
      <c r="L271" s="3" t="s">
        <v>1196</v>
      </c>
      <c r="M271" s="15" t="n">
        <v>46327</v>
      </c>
      <c r="N271" s="3"/>
    </row>
    <row r="272" customFormat="false" ht="15" hidden="false" customHeight="true" outlineLevel="0" collapsed="false">
      <c r="A272" s="3" t="s">
        <v>1197</v>
      </c>
      <c r="B272" s="3" t="s">
        <v>80</v>
      </c>
      <c r="C272" s="3" t="s">
        <v>11</v>
      </c>
      <c r="D272" s="3" t="s">
        <v>53</v>
      </c>
      <c r="E272" s="3" t="s">
        <v>1198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81</v>
      </c>
      <c r="M272" s="3"/>
      <c r="N272" s="3"/>
    </row>
    <row r="273" customFormat="false" ht="15" hidden="false" customHeight="true" outlineLevel="0" collapsed="false">
      <c r="A273" s="3" t="s">
        <v>1199</v>
      </c>
      <c r="B273" s="3" t="s">
        <v>80</v>
      </c>
      <c r="C273" s="3" t="s">
        <v>11</v>
      </c>
      <c r="D273" s="3" t="s">
        <v>1200</v>
      </c>
      <c r="E273" s="3" t="s">
        <v>1201</v>
      </c>
      <c r="F273" s="3"/>
      <c r="G273" s="3" t="s">
        <v>22</v>
      </c>
      <c r="H273" s="3" t="s">
        <v>2</v>
      </c>
      <c r="I273" s="3" t="s">
        <v>1202</v>
      </c>
      <c r="J273" s="3" t="s">
        <v>98</v>
      </c>
      <c r="K273" s="3" t="s">
        <v>19</v>
      </c>
      <c r="L273" s="3" t="s">
        <v>1203</v>
      </c>
      <c r="M273" s="15" t="n">
        <v>46327</v>
      </c>
      <c r="N273" s="3" t="s">
        <v>1204</v>
      </c>
    </row>
    <row r="274" customFormat="false" ht="15" hidden="false" customHeight="true" outlineLevel="0" collapsed="false">
      <c r="A274" s="3" t="s">
        <v>1205</v>
      </c>
      <c r="B274" s="3" t="s">
        <v>80</v>
      </c>
      <c r="C274" s="3" t="s">
        <v>11</v>
      </c>
      <c r="D274" s="3" t="s">
        <v>101</v>
      </c>
      <c r="E274" s="3" t="s">
        <v>1206</v>
      </c>
      <c r="F274" s="3"/>
      <c r="G274" s="3" t="s">
        <v>22</v>
      </c>
      <c r="H274" s="3" t="s">
        <v>6</v>
      </c>
      <c r="I274" s="3" t="s">
        <v>1207</v>
      </c>
      <c r="J274" s="3" t="s">
        <v>98</v>
      </c>
      <c r="K274" s="3" t="s">
        <v>17</v>
      </c>
      <c r="L274" s="3" t="s">
        <v>1159</v>
      </c>
      <c r="M274" s="15" t="n">
        <v>46327</v>
      </c>
      <c r="N274" s="3"/>
    </row>
    <row r="275" customFormat="false" ht="15" hidden="false" customHeight="true" outlineLevel="0" collapsed="false">
      <c r="A275" s="3" t="s">
        <v>1208</v>
      </c>
      <c r="B275" s="3" t="s">
        <v>80</v>
      </c>
      <c r="C275" s="3" t="s">
        <v>11</v>
      </c>
      <c r="D275" s="3" t="s">
        <v>1209</v>
      </c>
      <c r="E275" s="3" t="s">
        <v>1210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 t="s">
        <v>1211</v>
      </c>
    </row>
    <row r="276" customFormat="false" ht="15" hidden="false" customHeight="true" outlineLevel="0" collapsed="false">
      <c r="A276" s="3" t="s">
        <v>1212</v>
      </c>
      <c r="B276" s="3" t="s">
        <v>80</v>
      </c>
      <c r="C276" s="3" t="s">
        <v>11</v>
      </c>
      <c r="D276" s="3" t="s">
        <v>191</v>
      </c>
      <c r="E276" s="3" t="s">
        <v>1213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 t="s">
        <v>1211</v>
      </c>
    </row>
    <row r="277" customFormat="false" ht="15" hidden="false" customHeight="true" outlineLevel="0" collapsed="false">
      <c r="A277" s="3" t="s">
        <v>1214</v>
      </c>
      <c r="B277" s="3" t="s">
        <v>80</v>
      </c>
      <c r="C277" s="3" t="s">
        <v>11</v>
      </c>
      <c r="D277" s="3" t="s">
        <v>130</v>
      </c>
      <c r="E277" s="3" t="s">
        <v>1215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81</v>
      </c>
      <c r="M277" s="3"/>
      <c r="N277" s="3"/>
    </row>
    <row r="278" customFormat="false" ht="15" hidden="false" customHeight="true" outlineLevel="0" collapsed="false">
      <c r="A278" s="3" t="s">
        <v>1216</v>
      </c>
      <c r="B278" s="3" t="s">
        <v>80</v>
      </c>
      <c r="C278" s="3" t="s">
        <v>11</v>
      </c>
      <c r="D278" s="3" t="s">
        <v>148</v>
      </c>
      <c r="E278" s="3" t="s">
        <v>1217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81</v>
      </c>
      <c r="M278" s="3"/>
      <c r="N278" s="3"/>
    </row>
    <row r="279" customFormat="false" ht="15" hidden="false" customHeight="true" outlineLevel="0" collapsed="false">
      <c r="A279" s="3" t="s">
        <v>1218</v>
      </c>
      <c r="B279" s="3" t="s">
        <v>80</v>
      </c>
      <c r="C279" s="3" t="s">
        <v>11</v>
      </c>
      <c r="D279" s="3" t="s">
        <v>54</v>
      </c>
      <c r="E279" s="3" t="s">
        <v>1219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81</v>
      </c>
      <c r="M279" s="3"/>
      <c r="N279" s="3" t="s">
        <v>1220</v>
      </c>
    </row>
    <row r="280" customFormat="false" ht="15" hidden="false" customHeight="true" outlineLevel="0" collapsed="false">
      <c r="A280" s="3" t="s">
        <v>1221</v>
      </c>
      <c r="B280" s="3" t="s">
        <v>80</v>
      </c>
      <c r="C280" s="3" t="s">
        <v>11</v>
      </c>
      <c r="D280" s="3" t="s">
        <v>1222</v>
      </c>
      <c r="E280" s="3" t="s">
        <v>1223</v>
      </c>
      <c r="F280" s="3"/>
      <c r="G280" s="3" t="s">
        <v>22</v>
      </c>
      <c r="H280" s="3" t="s">
        <v>2</v>
      </c>
      <c r="I280" s="3" t="s">
        <v>1224</v>
      </c>
      <c r="J280" s="3" t="s">
        <v>1225</v>
      </c>
      <c r="K280" s="3" t="s">
        <v>19</v>
      </c>
      <c r="L280" s="3" t="s">
        <v>1226</v>
      </c>
      <c r="M280" s="15" t="n">
        <v>46327</v>
      </c>
      <c r="N280" s="3" t="s">
        <v>1227</v>
      </c>
    </row>
    <row r="281" customFormat="false" ht="15" hidden="false" customHeight="true" outlineLevel="0" collapsed="false">
      <c r="A281" s="3" t="s">
        <v>1228</v>
      </c>
      <c r="B281" s="3" t="s">
        <v>80</v>
      </c>
      <c r="C281" s="3" t="s">
        <v>11</v>
      </c>
      <c r="D281" s="3" t="s">
        <v>1229</v>
      </c>
      <c r="E281" s="3" t="s">
        <v>1230</v>
      </c>
      <c r="F281" s="3"/>
      <c r="G281" s="3" t="s">
        <v>22</v>
      </c>
      <c r="H281" s="3" t="s">
        <v>2</v>
      </c>
      <c r="I281" s="3" t="s">
        <v>1231</v>
      </c>
      <c r="J281" s="3" t="s">
        <v>1232</v>
      </c>
      <c r="K281" s="3" t="s">
        <v>19</v>
      </c>
      <c r="L281" s="3" t="s">
        <v>1233</v>
      </c>
      <c r="M281" s="15" t="n">
        <v>46327</v>
      </c>
      <c r="N281" s="3" t="s">
        <v>1220</v>
      </c>
    </row>
    <row r="282" customFormat="false" ht="15" hidden="false" customHeight="true" outlineLevel="0" collapsed="false">
      <c r="A282" s="3" t="s">
        <v>1234</v>
      </c>
      <c r="B282" s="3" t="s">
        <v>80</v>
      </c>
      <c r="C282" s="3" t="s">
        <v>11</v>
      </c>
      <c r="D282" s="3" t="s">
        <v>1235</v>
      </c>
      <c r="E282" s="3" t="s">
        <v>1236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81</v>
      </c>
      <c r="M282" s="3"/>
      <c r="N282" s="3" t="s">
        <v>1220</v>
      </c>
    </row>
    <row r="283" customFormat="false" ht="15" hidden="false" customHeight="true" outlineLevel="0" collapsed="false">
      <c r="A283" s="3" t="s">
        <v>1237</v>
      </c>
      <c r="B283" s="3" t="s">
        <v>80</v>
      </c>
      <c r="C283" s="3" t="s">
        <v>11</v>
      </c>
      <c r="D283" s="3" t="s">
        <v>1238</v>
      </c>
      <c r="E283" s="3" t="s">
        <v>1239</v>
      </c>
      <c r="F283" s="3"/>
      <c r="G283" s="3" t="s">
        <v>22</v>
      </c>
      <c r="H283" s="3" t="s">
        <v>2</v>
      </c>
      <c r="I283" s="3" t="s">
        <v>1240</v>
      </c>
      <c r="J283" s="3" t="s">
        <v>98</v>
      </c>
      <c r="K283" s="3" t="s">
        <v>19</v>
      </c>
      <c r="L283" s="3" t="s">
        <v>1241</v>
      </c>
      <c r="M283" s="15" t="n">
        <v>46327</v>
      </c>
      <c r="N283" s="3" t="s">
        <v>1220</v>
      </c>
    </row>
    <row r="284" customFormat="false" ht="15" hidden="false" customHeight="true" outlineLevel="0" collapsed="false">
      <c r="A284" s="3" t="s">
        <v>1242</v>
      </c>
      <c r="B284" s="3" t="s">
        <v>80</v>
      </c>
      <c r="C284" s="3" t="s">
        <v>11</v>
      </c>
      <c r="D284" s="3" t="s">
        <v>1243</v>
      </c>
      <c r="E284" s="3" t="s">
        <v>1244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81</v>
      </c>
      <c r="M284" s="3"/>
      <c r="N284" s="3" t="s">
        <v>1220</v>
      </c>
    </row>
    <row r="285" customFormat="false" ht="15" hidden="false" customHeight="true" outlineLevel="0" collapsed="false">
      <c r="A285" s="3" t="s">
        <v>1245</v>
      </c>
      <c r="B285" s="3" t="s">
        <v>80</v>
      </c>
      <c r="C285" s="3" t="s">
        <v>11</v>
      </c>
      <c r="D285" s="3" t="s">
        <v>1246</v>
      </c>
      <c r="E285" s="3" t="s">
        <v>1247</v>
      </c>
      <c r="F285" s="3"/>
      <c r="G285" s="3" t="s">
        <v>22</v>
      </c>
      <c r="H285" s="3" t="s">
        <v>2</v>
      </c>
      <c r="I285" s="3" t="s">
        <v>1248</v>
      </c>
      <c r="J285" s="3" t="s">
        <v>98</v>
      </c>
      <c r="K285" s="3" t="s">
        <v>19</v>
      </c>
      <c r="L285" s="3" t="s">
        <v>1249</v>
      </c>
      <c r="M285" s="15" t="n">
        <v>46327</v>
      </c>
      <c r="N285" s="3" t="s">
        <v>1220</v>
      </c>
    </row>
    <row r="286" customFormat="false" ht="15" hidden="false" customHeight="true" outlineLevel="0" collapsed="false">
      <c r="A286" s="3" t="s">
        <v>1250</v>
      </c>
      <c r="B286" s="3" t="s">
        <v>80</v>
      </c>
      <c r="C286" s="3" t="s">
        <v>11</v>
      </c>
      <c r="D286" s="3" t="s">
        <v>1251</v>
      </c>
      <c r="E286" s="3" t="s">
        <v>1252</v>
      </c>
      <c r="F286" s="3"/>
      <c r="G286" s="3" t="s">
        <v>28</v>
      </c>
      <c r="H286" s="3" t="s">
        <v>2</v>
      </c>
      <c r="I286" s="3" t="s">
        <v>1253</v>
      </c>
      <c r="J286" s="3" t="s">
        <v>1254</v>
      </c>
      <c r="K286" s="3" t="s">
        <v>17</v>
      </c>
      <c r="L286" s="3" t="s">
        <v>1255</v>
      </c>
      <c r="M286" s="15" t="n">
        <v>46327</v>
      </c>
      <c r="N286" s="3" t="s">
        <v>1220</v>
      </c>
    </row>
    <row r="287" customFormat="false" ht="15" hidden="false" customHeight="true" outlineLevel="0" collapsed="false">
      <c r="A287" s="3" t="s">
        <v>1256</v>
      </c>
      <c r="B287" s="3" t="s">
        <v>80</v>
      </c>
      <c r="C287" s="3" t="s">
        <v>11</v>
      </c>
      <c r="D287" s="3" t="s">
        <v>1257</v>
      </c>
      <c r="E287" s="3" t="s">
        <v>1258</v>
      </c>
      <c r="F287" s="3"/>
      <c r="G287" s="3" t="s">
        <v>22</v>
      </c>
      <c r="H287" s="3" t="s">
        <v>2</v>
      </c>
      <c r="I287" s="3" t="s">
        <v>1253</v>
      </c>
      <c r="J287" s="3" t="s">
        <v>98</v>
      </c>
      <c r="K287" s="3" t="s">
        <v>19</v>
      </c>
      <c r="L287" s="3" t="s">
        <v>1259</v>
      </c>
      <c r="M287" s="15" t="n">
        <v>46327</v>
      </c>
      <c r="N287" s="3" t="s">
        <v>1220</v>
      </c>
    </row>
    <row r="288" customFormat="false" ht="15" hidden="false" customHeight="true" outlineLevel="0" collapsed="false">
      <c r="A288" s="3" t="s">
        <v>1260</v>
      </c>
      <c r="B288" s="3" t="s">
        <v>80</v>
      </c>
      <c r="C288" s="3" t="s">
        <v>11</v>
      </c>
      <c r="D288" s="3" t="s">
        <v>130</v>
      </c>
      <c r="E288" s="3" t="s">
        <v>1261</v>
      </c>
      <c r="F288" s="3"/>
      <c r="G288" s="3" t="s">
        <v>22</v>
      </c>
      <c r="H288" s="3" t="s">
        <v>2</v>
      </c>
      <c r="I288" s="3" t="s">
        <v>1202</v>
      </c>
      <c r="J288" s="3" t="s">
        <v>98</v>
      </c>
      <c r="K288" s="3" t="s">
        <v>19</v>
      </c>
      <c r="L288" s="3" t="s">
        <v>1262</v>
      </c>
      <c r="M288" s="15" t="n">
        <v>46327</v>
      </c>
      <c r="N288" s="3" t="s">
        <v>1220</v>
      </c>
    </row>
    <row r="289" customFormat="false" ht="15" hidden="false" customHeight="true" outlineLevel="0" collapsed="false">
      <c r="A289" s="3" t="s">
        <v>1263</v>
      </c>
      <c r="B289" s="3" t="s">
        <v>80</v>
      </c>
      <c r="C289" s="3" t="s">
        <v>11</v>
      </c>
      <c r="D289" s="3" t="s">
        <v>148</v>
      </c>
      <c r="E289" s="3" t="s">
        <v>1264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81</v>
      </c>
      <c r="M289" s="3"/>
      <c r="N289" s="3" t="s">
        <v>1220</v>
      </c>
    </row>
    <row r="290" customFormat="false" ht="15" hidden="false" customHeight="true" outlineLevel="0" collapsed="false">
      <c r="A290" s="3" t="s">
        <v>1265</v>
      </c>
      <c r="B290" s="3" t="s">
        <v>80</v>
      </c>
      <c r="C290" s="3" t="s">
        <v>11</v>
      </c>
      <c r="D290" s="3" t="s">
        <v>54</v>
      </c>
      <c r="E290" s="3" t="s">
        <v>1266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81</v>
      </c>
      <c r="M290" s="3"/>
      <c r="N290" s="3"/>
    </row>
    <row r="291" customFormat="false" ht="15" hidden="false" customHeight="true" outlineLevel="0" collapsed="false">
      <c r="A291" s="3" t="s">
        <v>1267</v>
      </c>
      <c r="B291" s="3" t="s">
        <v>80</v>
      </c>
      <c r="C291" s="3" t="s">
        <v>11</v>
      </c>
      <c r="D291" s="3" t="s">
        <v>1268</v>
      </c>
      <c r="E291" s="3" t="s">
        <v>1269</v>
      </c>
      <c r="F291" s="3"/>
      <c r="G291" s="3" t="s">
        <v>22</v>
      </c>
      <c r="H291" s="3" t="s">
        <v>2</v>
      </c>
      <c r="I291" s="3" t="s">
        <v>1270</v>
      </c>
      <c r="J291" s="3" t="s">
        <v>98</v>
      </c>
      <c r="K291" s="3" t="s">
        <v>19</v>
      </c>
      <c r="L291" s="3" t="s">
        <v>1271</v>
      </c>
      <c r="M291" s="15" t="n">
        <v>46328</v>
      </c>
      <c r="N291" s="3"/>
    </row>
    <row r="292" customFormat="false" ht="15" hidden="false" customHeight="true" outlineLevel="0" collapsed="false">
      <c r="A292" s="3" t="s">
        <v>1272</v>
      </c>
      <c r="B292" s="3" t="s">
        <v>80</v>
      </c>
      <c r="C292" s="3" t="s">
        <v>11</v>
      </c>
      <c r="D292" s="3" t="s">
        <v>1273</v>
      </c>
      <c r="E292" s="3" t="s">
        <v>1274</v>
      </c>
      <c r="F292" s="3"/>
      <c r="G292" s="3" t="s">
        <v>22</v>
      </c>
      <c r="H292" s="3" t="s">
        <v>2</v>
      </c>
      <c r="I292" s="3" t="s">
        <v>1275</v>
      </c>
      <c r="J292" s="3" t="s">
        <v>98</v>
      </c>
      <c r="K292" s="3" t="s">
        <v>19</v>
      </c>
      <c r="L292" s="3" t="s">
        <v>1276</v>
      </c>
      <c r="M292" s="15" t="n">
        <v>46328</v>
      </c>
      <c r="N292" s="3"/>
    </row>
    <row r="293" customFormat="false" ht="15" hidden="false" customHeight="true" outlineLevel="0" collapsed="false">
      <c r="A293" s="3" t="s">
        <v>1277</v>
      </c>
      <c r="B293" s="3" t="s">
        <v>80</v>
      </c>
      <c r="C293" s="3" t="s">
        <v>11</v>
      </c>
      <c r="D293" s="3" t="s">
        <v>1278</v>
      </c>
      <c r="E293" s="3" t="s">
        <v>1279</v>
      </c>
      <c r="F293" s="3"/>
      <c r="G293" s="3" t="s">
        <v>22</v>
      </c>
      <c r="H293" s="3" t="s">
        <v>2</v>
      </c>
      <c r="I293" s="3" t="s">
        <v>1280</v>
      </c>
      <c r="J293" s="3" t="s">
        <v>1281</v>
      </c>
      <c r="K293" s="3" t="s">
        <v>19</v>
      </c>
      <c r="L293" s="3" t="s">
        <v>1282</v>
      </c>
      <c r="M293" s="15" t="n">
        <v>46328</v>
      </c>
      <c r="N293" s="3"/>
    </row>
    <row r="294" customFormat="false" ht="15" hidden="false" customHeight="true" outlineLevel="0" collapsed="false">
      <c r="A294" s="3" t="s">
        <v>1283</v>
      </c>
      <c r="B294" s="3" t="s">
        <v>80</v>
      </c>
      <c r="C294" s="3" t="s">
        <v>11</v>
      </c>
      <c r="D294" s="3" t="s">
        <v>1284</v>
      </c>
      <c r="E294" s="3" t="s">
        <v>1285</v>
      </c>
      <c r="F294" s="3"/>
      <c r="G294" s="3" t="s">
        <v>22</v>
      </c>
      <c r="H294" s="3" t="s">
        <v>2</v>
      </c>
      <c r="I294" s="3" t="s">
        <v>1286</v>
      </c>
      <c r="J294" s="3" t="s">
        <v>1287</v>
      </c>
      <c r="K294" s="3" t="s">
        <v>19</v>
      </c>
      <c r="L294" s="3" t="s">
        <v>1288</v>
      </c>
      <c r="M294" s="15" t="n">
        <v>46328</v>
      </c>
      <c r="N294" s="3"/>
    </row>
    <row r="295" customFormat="false" ht="15" hidden="false" customHeight="true" outlineLevel="0" collapsed="false">
      <c r="A295" s="3" t="s">
        <v>1289</v>
      </c>
      <c r="B295" s="3" t="s">
        <v>80</v>
      </c>
      <c r="C295" s="3" t="s">
        <v>11</v>
      </c>
      <c r="D295" s="3" t="s">
        <v>1290</v>
      </c>
      <c r="E295" s="3" t="s">
        <v>1291</v>
      </c>
      <c r="F295" s="3"/>
      <c r="G295" s="3" t="s">
        <v>22</v>
      </c>
      <c r="H295" s="3" t="s">
        <v>2</v>
      </c>
      <c r="I295" s="3" t="s">
        <v>1292</v>
      </c>
      <c r="J295" s="3" t="s">
        <v>1293</v>
      </c>
      <c r="K295" s="3" t="s">
        <v>19</v>
      </c>
      <c r="L295" s="3" t="s">
        <v>1294</v>
      </c>
      <c r="M295" s="15" t="n">
        <v>46328</v>
      </c>
      <c r="N295" s="3"/>
    </row>
    <row r="296" customFormat="false" ht="15" hidden="false" customHeight="true" outlineLevel="0" collapsed="false">
      <c r="A296" s="3" t="s">
        <v>1295</v>
      </c>
      <c r="B296" s="3" t="s">
        <v>80</v>
      </c>
      <c r="C296" s="3" t="s">
        <v>11</v>
      </c>
      <c r="D296" s="3" t="s">
        <v>1296</v>
      </c>
      <c r="E296" s="3" t="s">
        <v>1297</v>
      </c>
      <c r="F296" s="3"/>
      <c r="G296" s="3" t="s">
        <v>22</v>
      </c>
      <c r="H296" s="3" t="s">
        <v>2</v>
      </c>
      <c r="I296" s="3" t="s">
        <v>1298</v>
      </c>
      <c r="J296" s="3" t="s">
        <v>1299</v>
      </c>
      <c r="K296" s="3" t="s">
        <v>19</v>
      </c>
      <c r="L296" s="3" t="s">
        <v>1300</v>
      </c>
      <c r="M296" s="15" t="n">
        <v>46328</v>
      </c>
      <c r="N296" s="3"/>
    </row>
    <row r="297" customFormat="false" ht="15" hidden="false" customHeight="true" outlineLevel="0" collapsed="false">
      <c r="A297" s="3" t="s">
        <v>1301</v>
      </c>
      <c r="B297" s="3" t="s">
        <v>80</v>
      </c>
      <c r="C297" s="3" t="s">
        <v>11</v>
      </c>
      <c r="D297" s="3" t="s">
        <v>101</v>
      </c>
      <c r="E297" s="3" t="s">
        <v>1302</v>
      </c>
      <c r="F297" s="3"/>
      <c r="G297" s="3" t="s">
        <v>22</v>
      </c>
      <c r="H297" s="3" t="s">
        <v>2</v>
      </c>
      <c r="I297" s="3" t="s">
        <v>1303</v>
      </c>
      <c r="J297" s="3" t="s">
        <v>98</v>
      </c>
      <c r="K297" s="3" t="s">
        <v>19</v>
      </c>
      <c r="L297" s="3" t="s">
        <v>1304</v>
      </c>
      <c r="M297" s="15" t="n">
        <v>46328</v>
      </c>
      <c r="N297" s="3"/>
    </row>
    <row r="298" customFormat="false" ht="15" hidden="false" customHeight="true" outlineLevel="0" collapsed="false">
      <c r="A298" s="3" t="s">
        <v>1305</v>
      </c>
      <c r="B298" s="3" t="s">
        <v>80</v>
      </c>
      <c r="C298" s="3" t="s">
        <v>11</v>
      </c>
      <c r="D298" s="3" t="s">
        <v>130</v>
      </c>
      <c r="E298" s="3" t="s">
        <v>1306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81</v>
      </c>
      <c r="M298" s="3"/>
      <c r="N298" s="3"/>
    </row>
    <row r="299" customFormat="false" ht="15" hidden="false" customHeight="true" outlineLevel="0" collapsed="false">
      <c r="A299" s="3" t="s">
        <v>1307</v>
      </c>
      <c r="B299" s="3" t="s">
        <v>80</v>
      </c>
      <c r="C299" s="3" t="s">
        <v>11</v>
      </c>
      <c r="D299" s="3" t="s">
        <v>1308</v>
      </c>
      <c r="E299" s="3" t="s">
        <v>1309</v>
      </c>
      <c r="F299" s="3"/>
      <c r="G299" s="3" t="s">
        <v>22</v>
      </c>
      <c r="H299" s="3" t="s">
        <v>2</v>
      </c>
      <c r="I299" s="3" t="s">
        <v>1286</v>
      </c>
      <c r="J299" s="3" t="s">
        <v>98</v>
      </c>
      <c r="K299" s="3" t="s">
        <v>17</v>
      </c>
      <c r="L299" s="3" t="s">
        <v>1310</v>
      </c>
      <c r="M299" s="15" t="n">
        <v>46328</v>
      </c>
      <c r="N299" s="3"/>
    </row>
    <row r="300" customFormat="false" ht="15" hidden="false" customHeight="true" outlineLevel="0" collapsed="false">
      <c r="A300" s="3" t="s">
        <v>1311</v>
      </c>
      <c r="B300" s="3" t="s">
        <v>80</v>
      </c>
      <c r="C300" s="3" t="s">
        <v>11</v>
      </c>
      <c r="D300" s="3" t="s">
        <v>148</v>
      </c>
      <c r="E300" s="3" t="s">
        <v>1312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81</v>
      </c>
      <c r="M300" s="3"/>
      <c r="N300" s="3"/>
    </row>
    <row r="301" customFormat="false" ht="15" hidden="false" customHeight="true" outlineLevel="0" collapsed="false">
      <c r="A301" s="3" t="s">
        <v>1313</v>
      </c>
      <c r="B301" s="3" t="s">
        <v>80</v>
      </c>
      <c r="C301" s="3" t="s">
        <v>13</v>
      </c>
      <c r="D301" s="3" t="s">
        <v>1314</v>
      </c>
      <c r="E301" s="3" t="s">
        <v>1315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81</v>
      </c>
      <c r="M301" s="3"/>
      <c r="N301" s="3"/>
    </row>
    <row r="302" customFormat="false" ht="15" hidden="false" customHeight="true" outlineLevel="0" collapsed="false">
      <c r="A302" s="3" t="s">
        <v>1316</v>
      </c>
      <c r="B302" s="3" t="s">
        <v>80</v>
      </c>
      <c r="C302" s="3" t="s">
        <v>13</v>
      </c>
      <c r="D302" s="3" t="s">
        <v>58</v>
      </c>
      <c r="E302" s="3" t="s">
        <v>1317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81</v>
      </c>
      <c r="M302" s="3"/>
      <c r="N302" s="3"/>
    </row>
    <row r="303" customFormat="false" ht="15" hidden="false" customHeight="true" outlineLevel="0" collapsed="false">
      <c r="A303" s="3" t="s">
        <v>1318</v>
      </c>
      <c r="B303" s="3" t="s">
        <v>80</v>
      </c>
      <c r="C303" s="3" t="s">
        <v>13</v>
      </c>
      <c r="D303" s="3" t="s">
        <v>460</v>
      </c>
      <c r="E303" s="3" t="s">
        <v>1319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1320</v>
      </c>
      <c r="B304" s="3" t="s">
        <v>80</v>
      </c>
      <c r="C304" s="3" t="s">
        <v>13</v>
      </c>
      <c r="D304" s="3" t="s">
        <v>1321</v>
      </c>
      <c r="E304" s="3" t="s">
        <v>1322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81</v>
      </c>
      <c r="M304" s="3"/>
      <c r="N304" s="3"/>
    </row>
    <row r="305" customFormat="false" ht="15" hidden="false" customHeight="true" outlineLevel="0" collapsed="false">
      <c r="A305" s="3" t="s">
        <v>1323</v>
      </c>
      <c r="B305" s="3" t="s">
        <v>80</v>
      </c>
      <c r="C305" s="3" t="s">
        <v>13</v>
      </c>
      <c r="D305" s="3" t="s">
        <v>54</v>
      </c>
      <c r="E305" s="3" t="s">
        <v>1324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81</v>
      </c>
      <c r="M305" s="3"/>
      <c r="N305" s="3"/>
    </row>
    <row r="306" customFormat="false" ht="15" hidden="false" customHeight="true" outlineLevel="0" collapsed="false">
      <c r="A306" s="3" t="s">
        <v>1325</v>
      </c>
      <c r="B306" s="3" t="s">
        <v>80</v>
      </c>
      <c r="C306" s="3" t="s">
        <v>13</v>
      </c>
      <c r="D306" s="3" t="s">
        <v>1326</v>
      </c>
      <c r="E306" s="3" t="s">
        <v>1327</v>
      </c>
      <c r="F306" s="3"/>
      <c r="G306" s="3" t="s">
        <v>22</v>
      </c>
      <c r="H306" s="3" t="s">
        <v>2</v>
      </c>
      <c r="I306" s="3" t="s">
        <v>1328</v>
      </c>
      <c r="J306" s="3"/>
      <c r="K306" s="3" t="s">
        <v>19</v>
      </c>
      <c r="L306" s="3"/>
      <c r="M306" s="3" t="s">
        <v>109</v>
      </c>
      <c r="N306" s="3" t="s">
        <v>1329</v>
      </c>
    </row>
    <row r="307" customFormat="false" ht="15" hidden="false" customHeight="true" outlineLevel="0" collapsed="false">
      <c r="A307" s="3" t="s">
        <v>1330</v>
      </c>
      <c r="B307" s="3" t="s">
        <v>80</v>
      </c>
      <c r="C307" s="3" t="s">
        <v>13</v>
      </c>
      <c r="D307" s="3" t="s">
        <v>1331</v>
      </c>
      <c r="E307" s="3" t="s">
        <v>1332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444</v>
      </c>
      <c r="M307" s="3"/>
      <c r="N307" s="3"/>
    </row>
    <row r="308" customFormat="false" ht="15" hidden="false" customHeight="true" outlineLevel="0" collapsed="false">
      <c r="A308" s="3" t="s">
        <v>1333</v>
      </c>
      <c r="B308" s="3" t="s">
        <v>80</v>
      </c>
      <c r="C308" s="3" t="s">
        <v>13</v>
      </c>
      <c r="D308" s="3" t="s">
        <v>101</v>
      </c>
      <c r="E308" s="3" t="s">
        <v>1334</v>
      </c>
      <c r="F308" s="3"/>
      <c r="G308" s="3" t="s">
        <v>22</v>
      </c>
      <c r="H308" s="3" t="s">
        <v>2</v>
      </c>
      <c r="I308" s="3" t="s">
        <v>1335</v>
      </c>
      <c r="J308" s="3"/>
      <c r="K308" s="3" t="s">
        <v>19</v>
      </c>
      <c r="L308" s="3"/>
      <c r="M308" s="3" t="s">
        <v>109</v>
      </c>
      <c r="N308" s="3" t="s">
        <v>1336</v>
      </c>
    </row>
    <row r="309" customFormat="false" ht="15" hidden="false" customHeight="true" outlineLevel="0" collapsed="false">
      <c r="A309" s="3" t="s">
        <v>1337</v>
      </c>
      <c r="B309" s="3" t="s">
        <v>80</v>
      </c>
      <c r="C309" s="3" t="s">
        <v>13</v>
      </c>
      <c r="D309" s="3" t="s">
        <v>143</v>
      </c>
      <c r="E309" s="3" t="s">
        <v>1338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1339</v>
      </c>
      <c r="B310" s="3" t="s">
        <v>80</v>
      </c>
      <c r="C310" s="3" t="s">
        <v>13</v>
      </c>
      <c r="D310" s="3" t="s">
        <v>1340</v>
      </c>
      <c r="E310" s="3" t="s">
        <v>1341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1342</v>
      </c>
      <c r="B311" s="3" t="s">
        <v>80</v>
      </c>
      <c r="C311" s="3" t="s">
        <v>13</v>
      </c>
      <c r="D311" s="3" t="s">
        <v>1343</v>
      </c>
      <c r="E311" s="3" t="s">
        <v>1344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1345</v>
      </c>
      <c r="B312" s="3" t="s">
        <v>80</v>
      </c>
      <c r="C312" s="3" t="s">
        <v>13</v>
      </c>
      <c r="D312" s="3" t="s">
        <v>454</v>
      </c>
      <c r="E312" s="3" t="s">
        <v>1346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1347</v>
      </c>
      <c r="B313" s="3" t="s">
        <v>80</v>
      </c>
      <c r="C313" s="3" t="s">
        <v>13</v>
      </c>
      <c r="D313" s="3" t="s">
        <v>143</v>
      </c>
      <c r="E313" s="3" t="s">
        <v>1348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1349</v>
      </c>
      <c r="B314" s="3" t="s">
        <v>80</v>
      </c>
      <c r="C314" s="3" t="s">
        <v>13</v>
      </c>
      <c r="D314" s="3" t="s">
        <v>1350</v>
      </c>
      <c r="E314" s="3" t="s">
        <v>1351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1352</v>
      </c>
      <c r="B315" s="3" t="s">
        <v>80</v>
      </c>
      <c r="C315" s="3" t="s">
        <v>13</v>
      </c>
      <c r="D315" s="3" t="s">
        <v>191</v>
      </c>
      <c r="E315" s="3" t="s">
        <v>1353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1354</v>
      </c>
      <c r="B316" s="3" t="s">
        <v>80</v>
      </c>
      <c r="C316" s="3" t="s">
        <v>13</v>
      </c>
      <c r="D316" s="3" t="s">
        <v>1355</v>
      </c>
      <c r="E316" s="3" t="s">
        <v>1356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1357</v>
      </c>
      <c r="B317" s="3" t="s">
        <v>80</v>
      </c>
      <c r="C317" s="3" t="s">
        <v>13</v>
      </c>
      <c r="D317" s="3" t="s">
        <v>143</v>
      </c>
      <c r="E317" s="3" t="s">
        <v>1358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1359</v>
      </c>
      <c r="B318" s="3" t="s">
        <v>80</v>
      </c>
      <c r="C318" s="3" t="s">
        <v>13</v>
      </c>
      <c r="D318" s="3" t="s">
        <v>1360</v>
      </c>
      <c r="E318" s="3" t="s">
        <v>1361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1362</v>
      </c>
      <c r="B319" s="3" t="s">
        <v>80</v>
      </c>
      <c r="C319" s="3" t="s">
        <v>13</v>
      </c>
      <c r="D319" s="3" t="s">
        <v>143</v>
      </c>
      <c r="E319" s="3" t="s">
        <v>1363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1364</v>
      </c>
      <c r="B320" s="3" t="s">
        <v>80</v>
      </c>
      <c r="C320" s="3" t="s">
        <v>13</v>
      </c>
      <c r="D320" s="3" t="s">
        <v>1365</v>
      </c>
      <c r="E320" s="3" t="s">
        <v>1366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1367</v>
      </c>
      <c r="B321" s="3" t="s">
        <v>80</v>
      </c>
      <c r="C321" s="3" t="s">
        <v>13</v>
      </c>
      <c r="D321" s="3" t="s">
        <v>143</v>
      </c>
      <c r="E321" s="3" t="s">
        <v>1368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1369</v>
      </c>
      <c r="B322" s="3" t="s">
        <v>80</v>
      </c>
      <c r="C322" s="3" t="s">
        <v>13</v>
      </c>
      <c r="D322" s="3" t="s">
        <v>1370</v>
      </c>
      <c r="E322" s="3" t="s">
        <v>1371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1372</v>
      </c>
      <c r="B323" s="3" t="s">
        <v>80</v>
      </c>
      <c r="C323" s="3" t="s">
        <v>13</v>
      </c>
      <c r="D323" s="3" t="s">
        <v>1373</v>
      </c>
      <c r="E323" s="3" t="s">
        <v>1374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1375</v>
      </c>
      <c r="B324" s="3" t="s">
        <v>80</v>
      </c>
      <c r="C324" s="3" t="s">
        <v>13</v>
      </c>
      <c r="D324" s="3" t="s">
        <v>1376</v>
      </c>
      <c r="E324" s="3" t="s">
        <v>1377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1378</v>
      </c>
      <c r="B325" s="3" t="s">
        <v>80</v>
      </c>
      <c r="C325" s="3" t="s">
        <v>13</v>
      </c>
      <c r="D325" s="3" t="s">
        <v>1379</v>
      </c>
      <c r="E325" s="3" t="s">
        <v>1380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1381</v>
      </c>
      <c r="B326" s="3" t="s">
        <v>80</v>
      </c>
      <c r="C326" s="3" t="s">
        <v>13</v>
      </c>
      <c r="D326" s="3" t="s">
        <v>1382</v>
      </c>
      <c r="E326" s="3" t="s">
        <v>1383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1384</v>
      </c>
      <c r="B327" s="3" t="s">
        <v>80</v>
      </c>
      <c r="C327" s="3" t="s">
        <v>13</v>
      </c>
      <c r="D327" s="3" t="s">
        <v>1385</v>
      </c>
      <c r="E327" s="3" t="s">
        <v>1386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1387</v>
      </c>
      <c r="B328" s="3" t="s">
        <v>80</v>
      </c>
      <c r="C328" s="3" t="s">
        <v>13</v>
      </c>
      <c r="D328" s="3" t="s">
        <v>1388</v>
      </c>
      <c r="E328" s="3" t="s">
        <v>1389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1390</v>
      </c>
      <c r="B329" s="3" t="s">
        <v>80</v>
      </c>
      <c r="C329" s="3" t="s">
        <v>13</v>
      </c>
      <c r="D329" s="3" t="s">
        <v>1391</v>
      </c>
      <c r="E329" s="3" t="s">
        <v>1392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81</v>
      </c>
      <c r="M329" s="3"/>
      <c r="N329" s="3"/>
    </row>
    <row r="330" customFormat="false" ht="15" hidden="false" customHeight="true" outlineLevel="0" collapsed="false">
      <c r="A330" s="3" t="s">
        <v>1393</v>
      </c>
      <c r="B330" s="3" t="s">
        <v>80</v>
      </c>
      <c r="C330" s="3" t="s">
        <v>13</v>
      </c>
      <c r="D330" s="3" t="s">
        <v>1394</v>
      </c>
      <c r="E330" s="3" t="s">
        <v>1395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81</v>
      </c>
      <c r="M330" s="3"/>
      <c r="N330" s="3"/>
    </row>
    <row r="331" customFormat="false" ht="15" hidden="false" customHeight="true" outlineLevel="0" collapsed="false">
      <c r="A331" s="3" t="s">
        <v>1396</v>
      </c>
      <c r="B331" s="3" t="s">
        <v>80</v>
      </c>
      <c r="C331" s="3" t="s">
        <v>13</v>
      </c>
      <c r="D331" s="3" t="s">
        <v>1397</v>
      </c>
      <c r="E331" s="3" t="s">
        <v>1398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1399</v>
      </c>
      <c r="B332" s="3" t="s">
        <v>80</v>
      </c>
      <c r="C332" s="3" t="s">
        <v>13</v>
      </c>
      <c r="D332" s="3" t="s">
        <v>261</v>
      </c>
      <c r="E332" s="3" t="s">
        <v>1400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81</v>
      </c>
      <c r="M332" s="3"/>
      <c r="N332" s="3"/>
    </row>
    <row r="333" customFormat="false" ht="15" hidden="false" customHeight="true" outlineLevel="0" collapsed="false">
      <c r="A333" s="3" t="s">
        <v>1401</v>
      </c>
      <c r="B333" s="3" t="s">
        <v>80</v>
      </c>
      <c r="C333" s="3" t="s">
        <v>13</v>
      </c>
      <c r="D333" s="3" t="s">
        <v>1402</v>
      </c>
      <c r="E333" s="3" t="s">
        <v>1403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81</v>
      </c>
      <c r="M333" s="3"/>
      <c r="N333" s="3"/>
    </row>
    <row r="334" customFormat="false" ht="15" hidden="false" customHeight="true" outlineLevel="0" collapsed="false">
      <c r="A334" s="3" t="s">
        <v>1404</v>
      </c>
      <c r="B334" s="3" t="s">
        <v>80</v>
      </c>
      <c r="C334" s="3" t="s">
        <v>13</v>
      </c>
      <c r="D334" s="3" t="s">
        <v>1405</v>
      </c>
      <c r="E334" s="3" t="s">
        <v>1406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81</v>
      </c>
      <c r="M334" s="3"/>
      <c r="N334" s="3"/>
    </row>
    <row r="335" customFormat="false" ht="15" hidden="false" customHeight="true" outlineLevel="0" collapsed="false">
      <c r="A335" s="3" t="s">
        <v>1407</v>
      </c>
      <c r="B335" s="3" t="s">
        <v>80</v>
      </c>
      <c r="C335" s="3" t="s">
        <v>13</v>
      </c>
      <c r="D335" s="3" t="s">
        <v>1408</v>
      </c>
      <c r="E335" s="3" t="s">
        <v>1409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1410</v>
      </c>
      <c r="B336" s="3" t="s">
        <v>80</v>
      </c>
      <c r="C336" s="3" t="s">
        <v>13</v>
      </c>
      <c r="D336" s="3" t="s">
        <v>1411</v>
      </c>
      <c r="E336" s="3" t="s">
        <v>1412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1413</v>
      </c>
      <c r="B337" s="3" t="s">
        <v>80</v>
      </c>
      <c r="C337" s="3" t="s">
        <v>13</v>
      </c>
      <c r="D337" s="3" t="s">
        <v>1414</v>
      </c>
      <c r="E337" s="3" t="s">
        <v>1415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1416</v>
      </c>
      <c r="B338" s="3" t="s">
        <v>80</v>
      </c>
      <c r="C338" s="3" t="s">
        <v>13</v>
      </c>
      <c r="D338" s="3" t="s">
        <v>1417</v>
      </c>
      <c r="E338" s="3" t="s">
        <v>1418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81</v>
      </c>
      <c r="M338" s="3"/>
      <c r="N338" s="3"/>
    </row>
    <row r="339" customFormat="false" ht="15" hidden="false" customHeight="true" outlineLevel="0" collapsed="false">
      <c r="A339" s="3" t="s">
        <v>1419</v>
      </c>
      <c r="B339" s="3" t="s">
        <v>80</v>
      </c>
      <c r="C339" s="3" t="s">
        <v>13</v>
      </c>
      <c r="D339" s="3" t="s">
        <v>1420</v>
      </c>
      <c r="E339" s="3" t="s">
        <v>1421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1422</v>
      </c>
      <c r="B340" s="3" t="s">
        <v>80</v>
      </c>
      <c r="C340" s="3" t="s">
        <v>13</v>
      </c>
      <c r="D340" s="3" t="s">
        <v>1423</v>
      </c>
      <c r="E340" s="3" t="s">
        <v>1424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1425</v>
      </c>
      <c r="B341" s="3" t="s">
        <v>80</v>
      </c>
      <c r="C341" s="3" t="s">
        <v>13</v>
      </c>
      <c r="D341" s="3" t="s">
        <v>1426</v>
      </c>
      <c r="E341" s="3" t="s">
        <v>1427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1428</v>
      </c>
      <c r="B342" s="3" t="s">
        <v>80</v>
      </c>
      <c r="C342" s="3" t="s">
        <v>13</v>
      </c>
      <c r="D342" s="3" t="s">
        <v>1429</v>
      </c>
      <c r="E342" s="3" t="s">
        <v>1430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1431</v>
      </c>
      <c r="B343" s="3" t="s">
        <v>80</v>
      </c>
      <c r="C343" s="3" t="s">
        <v>13</v>
      </c>
      <c r="D343" s="3" t="s">
        <v>1432</v>
      </c>
      <c r="E343" s="3" t="s">
        <v>1433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1434</v>
      </c>
      <c r="B344" s="3" t="s">
        <v>80</v>
      </c>
      <c r="C344" s="3" t="s">
        <v>13</v>
      </c>
      <c r="D344" s="3" t="s">
        <v>1435</v>
      </c>
      <c r="E344" s="3" t="s">
        <v>1436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1437</v>
      </c>
      <c r="B345" s="3" t="s">
        <v>80</v>
      </c>
      <c r="C345" s="3" t="s">
        <v>13</v>
      </c>
      <c r="D345" s="3" t="s">
        <v>1438</v>
      </c>
      <c r="E345" s="3" t="s">
        <v>1439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1440</v>
      </c>
      <c r="B346" s="3" t="s">
        <v>80</v>
      </c>
      <c r="C346" s="3" t="s">
        <v>13</v>
      </c>
      <c r="D346" s="3" t="s">
        <v>1441</v>
      </c>
      <c r="E346" s="3" t="s">
        <v>1442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1443</v>
      </c>
      <c r="B347" s="3" t="s">
        <v>80</v>
      </c>
      <c r="C347" s="3" t="s">
        <v>13</v>
      </c>
      <c r="D347" s="3" t="s">
        <v>1444</v>
      </c>
      <c r="E347" s="3" t="s">
        <v>1445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1446</v>
      </c>
      <c r="B348" s="3" t="s">
        <v>80</v>
      </c>
      <c r="C348" s="3" t="s">
        <v>13</v>
      </c>
      <c r="D348" s="3" t="s">
        <v>1447</v>
      </c>
      <c r="E348" s="3" t="s">
        <v>1448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1449</v>
      </c>
      <c r="B349" s="3" t="s">
        <v>80</v>
      </c>
      <c r="C349" s="3" t="s">
        <v>13</v>
      </c>
      <c r="D349" s="3" t="s">
        <v>1450</v>
      </c>
      <c r="E349" s="3" t="s">
        <v>1451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1452</v>
      </c>
      <c r="B350" s="3" t="s">
        <v>80</v>
      </c>
      <c r="C350" s="3" t="s">
        <v>13</v>
      </c>
      <c r="D350" s="3" t="s">
        <v>1453</v>
      </c>
      <c r="E350" s="3" t="s">
        <v>1454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1455</v>
      </c>
      <c r="B351" s="3" t="s">
        <v>80</v>
      </c>
      <c r="C351" s="3" t="s">
        <v>13</v>
      </c>
      <c r="D351" s="3" t="s">
        <v>1456</v>
      </c>
      <c r="E351" s="3" t="s">
        <v>1457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1458</v>
      </c>
      <c r="B352" s="3" t="s">
        <v>80</v>
      </c>
      <c r="C352" s="3" t="s">
        <v>13</v>
      </c>
      <c r="D352" s="3" t="s">
        <v>1459</v>
      </c>
      <c r="E352" s="3" t="s">
        <v>1460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1461</v>
      </c>
      <c r="B353" s="3" t="s">
        <v>80</v>
      </c>
      <c r="C353" s="3" t="s">
        <v>13</v>
      </c>
      <c r="D353" s="3" t="s">
        <v>1462</v>
      </c>
      <c r="E353" s="3" t="s">
        <v>1463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1464</v>
      </c>
      <c r="B354" s="3" t="s">
        <v>80</v>
      </c>
      <c r="C354" s="3" t="s">
        <v>13</v>
      </c>
      <c r="D354" s="3" t="s">
        <v>1465</v>
      </c>
      <c r="E354" s="3" t="s">
        <v>1466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1467</v>
      </c>
      <c r="B355" s="3" t="s">
        <v>80</v>
      </c>
      <c r="C355" s="3" t="s">
        <v>13</v>
      </c>
      <c r="D355" s="3" t="s">
        <v>1468</v>
      </c>
      <c r="E355" s="3" t="s">
        <v>1469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1470</v>
      </c>
      <c r="B356" s="3" t="s">
        <v>80</v>
      </c>
      <c r="C356" s="3" t="s">
        <v>13</v>
      </c>
      <c r="D356" s="3" t="s">
        <v>1471</v>
      </c>
      <c r="E356" s="3" t="s">
        <v>1472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1473</v>
      </c>
      <c r="B357" s="3" t="s">
        <v>80</v>
      </c>
      <c r="C357" s="3" t="s">
        <v>13</v>
      </c>
      <c r="D357" s="3" t="s">
        <v>1474</v>
      </c>
      <c r="E357" s="3" t="s">
        <v>1475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1476</v>
      </c>
      <c r="B358" s="3" t="s">
        <v>80</v>
      </c>
      <c r="C358" s="3" t="s">
        <v>13</v>
      </c>
      <c r="D358" s="3" t="s">
        <v>1477</v>
      </c>
      <c r="E358" s="3" t="s">
        <v>1478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1479</v>
      </c>
      <c r="B359" s="3" t="s">
        <v>80</v>
      </c>
      <c r="C359" s="3" t="s">
        <v>13</v>
      </c>
      <c r="D359" s="3" t="s">
        <v>1480</v>
      </c>
      <c r="E359" s="3" t="s">
        <v>1481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1482</v>
      </c>
      <c r="B360" s="3" t="s">
        <v>80</v>
      </c>
      <c r="C360" s="3" t="s">
        <v>13</v>
      </c>
      <c r="D360" s="3" t="s">
        <v>1483</v>
      </c>
      <c r="E360" s="3" t="s">
        <v>1484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1485</v>
      </c>
      <c r="B361" s="3" t="s">
        <v>80</v>
      </c>
      <c r="C361" s="3" t="s">
        <v>13</v>
      </c>
      <c r="D361" s="3" t="s">
        <v>1486</v>
      </c>
      <c r="E361" s="3" t="s">
        <v>1487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1488</v>
      </c>
      <c r="B362" s="3" t="s">
        <v>80</v>
      </c>
      <c r="C362" s="3" t="s">
        <v>13</v>
      </c>
      <c r="D362" s="3" t="s">
        <v>1489</v>
      </c>
      <c r="E362" s="3" t="s">
        <v>1490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1491</v>
      </c>
      <c r="B363" s="3" t="s">
        <v>80</v>
      </c>
      <c r="C363" s="3" t="s">
        <v>13</v>
      </c>
      <c r="D363" s="3" t="s">
        <v>1492</v>
      </c>
      <c r="E363" s="3" t="s">
        <v>1493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1494</v>
      </c>
      <c r="B364" s="3" t="s">
        <v>80</v>
      </c>
      <c r="C364" s="3" t="s">
        <v>13</v>
      </c>
      <c r="D364" s="3" t="s">
        <v>1495</v>
      </c>
      <c r="E364" s="3" t="s">
        <v>1496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1497</v>
      </c>
      <c r="B365" s="3" t="s">
        <v>80</v>
      </c>
      <c r="C365" s="3" t="s">
        <v>13</v>
      </c>
      <c r="D365" s="3" t="s">
        <v>1498</v>
      </c>
      <c r="E365" s="3" t="s">
        <v>1499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1500</v>
      </c>
      <c r="B366" s="3" t="s">
        <v>80</v>
      </c>
      <c r="C366" s="3" t="s">
        <v>13</v>
      </c>
      <c r="D366" s="3" t="s">
        <v>1501</v>
      </c>
      <c r="E366" s="3" t="s">
        <v>1502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1503</v>
      </c>
      <c r="B367" s="3" t="s">
        <v>80</v>
      </c>
      <c r="C367" s="3" t="s">
        <v>13</v>
      </c>
      <c r="D367" s="3" t="s">
        <v>1504</v>
      </c>
      <c r="E367" s="3" t="s">
        <v>1505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1506</v>
      </c>
      <c r="B368" s="3" t="s">
        <v>80</v>
      </c>
      <c r="C368" s="3" t="s">
        <v>13</v>
      </c>
      <c r="D368" s="3" t="s">
        <v>1507</v>
      </c>
      <c r="E368" s="3" t="s">
        <v>1508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1509</v>
      </c>
      <c r="B369" s="3" t="s">
        <v>80</v>
      </c>
      <c r="C369" s="3" t="s">
        <v>13</v>
      </c>
      <c r="D369" s="3" t="s">
        <v>1510</v>
      </c>
      <c r="E369" s="3" t="s">
        <v>1511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1512</v>
      </c>
      <c r="B370" s="3" t="s">
        <v>80</v>
      </c>
      <c r="C370" s="3" t="s">
        <v>13</v>
      </c>
      <c r="D370" s="3" t="s">
        <v>1513</v>
      </c>
      <c r="E370" s="3" t="s">
        <v>1514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1515</v>
      </c>
      <c r="B371" s="3" t="s">
        <v>80</v>
      </c>
      <c r="C371" s="3" t="s">
        <v>13</v>
      </c>
      <c r="D371" s="3" t="s">
        <v>1516</v>
      </c>
      <c r="E371" s="3" t="s">
        <v>1517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1518</v>
      </c>
      <c r="B372" s="3" t="s">
        <v>80</v>
      </c>
      <c r="C372" s="3" t="s">
        <v>13</v>
      </c>
      <c r="D372" s="3" t="s">
        <v>1519</v>
      </c>
      <c r="E372" s="3" t="s">
        <v>1520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1521</v>
      </c>
      <c r="B373" s="3" t="s">
        <v>80</v>
      </c>
      <c r="C373" s="3" t="s">
        <v>13</v>
      </c>
      <c r="D373" s="3" t="s">
        <v>1522</v>
      </c>
      <c r="E373" s="3" t="s">
        <v>1523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1524</v>
      </c>
      <c r="B374" s="3" t="s">
        <v>80</v>
      </c>
      <c r="C374" s="3" t="s">
        <v>13</v>
      </c>
      <c r="D374" s="3" t="s">
        <v>1525</v>
      </c>
      <c r="E374" s="3" t="s">
        <v>1526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1527</v>
      </c>
      <c r="B375" s="3" t="s">
        <v>80</v>
      </c>
      <c r="C375" s="3" t="s">
        <v>13</v>
      </c>
      <c r="D375" s="3" t="s">
        <v>1528</v>
      </c>
      <c r="E375" s="3" t="s">
        <v>1529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1530</v>
      </c>
      <c r="B376" s="3" t="s">
        <v>80</v>
      </c>
      <c r="C376" s="3" t="s">
        <v>13</v>
      </c>
      <c r="D376" s="3" t="s">
        <v>1531</v>
      </c>
      <c r="E376" s="3" t="s">
        <v>1532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1533</v>
      </c>
      <c r="B377" s="3" t="s">
        <v>80</v>
      </c>
      <c r="C377" s="3" t="s">
        <v>13</v>
      </c>
      <c r="D377" s="3" t="s">
        <v>1534</v>
      </c>
      <c r="E377" s="3" t="s">
        <v>1535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1536</v>
      </c>
      <c r="B378" s="3" t="s">
        <v>80</v>
      </c>
      <c r="C378" s="3" t="s">
        <v>13</v>
      </c>
      <c r="D378" s="3" t="s">
        <v>1537</v>
      </c>
      <c r="E378" s="3" t="s">
        <v>1538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1539</v>
      </c>
      <c r="B379" s="3" t="s">
        <v>80</v>
      </c>
      <c r="C379" s="3" t="s">
        <v>13</v>
      </c>
      <c r="D379" s="3" t="s">
        <v>1540</v>
      </c>
      <c r="E379" s="3" t="s">
        <v>1541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1542</v>
      </c>
      <c r="B380" s="3" t="s">
        <v>80</v>
      </c>
      <c r="C380" s="3" t="s">
        <v>13</v>
      </c>
      <c r="D380" s="3" t="s">
        <v>1543</v>
      </c>
      <c r="E380" s="3" t="s">
        <v>1544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1545</v>
      </c>
      <c r="B381" s="3" t="s">
        <v>80</v>
      </c>
      <c r="C381" s="3" t="s">
        <v>13</v>
      </c>
      <c r="D381" s="3" t="s">
        <v>1546</v>
      </c>
      <c r="E381" s="3" t="s">
        <v>1547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1548</v>
      </c>
      <c r="B382" s="3" t="s">
        <v>80</v>
      </c>
      <c r="C382" s="3" t="s">
        <v>13</v>
      </c>
      <c r="D382" s="3" t="s">
        <v>1549</v>
      </c>
      <c r="E382" s="3" t="s">
        <v>1550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1551</v>
      </c>
      <c r="B383" s="3" t="s">
        <v>80</v>
      </c>
      <c r="C383" s="3" t="s">
        <v>13</v>
      </c>
      <c r="D383" s="3" t="s">
        <v>1552</v>
      </c>
      <c r="E383" s="3" t="s">
        <v>1553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1554</v>
      </c>
      <c r="B384" s="3" t="s">
        <v>80</v>
      </c>
      <c r="C384" s="3" t="s">
        <v>13</v>
      </c>
      <c r="D384" s="3" t="s">
        <v>1555</v>
      </c>
      <c r="E384" s="3" t="s">
        <v>1556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1557</v>
      </c>
      <c r="B385" s="3" t="s">
        <v>80</v>
      </c>
      <c r="C385" s="3" t="s">
        <v>13</v>
      </c>
      <c r="D385" s="3" t="s">
        <v>1558</v>
      </c>
      <c r="E385" s="3" t="s">
        <v>1559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1560</v>
      </c>
      <c r="B386" s="3" t="s">
        <v>80</v>
      </c>
      <c r="C386" s="3" t="s">
        <v>13</v>
      </c>
      <c r="D386" s="3" t="s">
        <v>1561</v>
      </c>
      <c r="E386" s="3" t="s">
        <v>1562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1563</v>
      </c>
      <c r="B387" s="3" t="s">
        <v>80</v>
      </c>
      <c r="C387" s="3" t="s">
        <v>13</v>
      </c>
      <c r="D387" s="3" t="s">
        <v>1564</v>
      </c>
      <c r="E387" s="3" t="s">
        <v>1565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1566</v>
      </c>
      <c r="B388" s="3" t="s">
        <v>80</v>
      </c>
      <c r="C388" s="3" t="s">
        <v>13</v>
      </c>
      <c r="D388" s="3" t="s">
        <v>1567</v>
      </c>
      <c r="E388" s="3" t="s">
        <v>1568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1569</v>
      </c>
      <c r="B389" s="3" t="s">
        <v>80</v>
      </c>
      <c r="C389" s="3" t="s">
        <v>13</v>
      </c>
      <c r="D389" s="3" t="s">
        <v>1570</v>
      </c>
      <c r="E389" s="3" t="s">
        <v>1571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1572</v>
      </c>
      <c r="B390" s="3" t="s">
        <v>80</v>
      </c>
      <c r="C390" s="3" t="s">
        <v>13</v>
      </c>
      <c r="D390" s="3" t="s">
        <v>1573</v>
      </c>
      <c r="E390" s="3" t="s">
        <v>1574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1575</v>
      </c>
      <c r="B391" s="3" t="s">
        <v>80</v>
      </c>
      <c r="C391" s="3" t="s">
        <v>13</v>
      </c>
      <c r="D391" s="3" t="s">
        <v>1576</v>
      </c>
      <c r="E391" s="3" t="s">
        <v>1577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1578</v>
      </c>
      <c r="B392" s="3" t="s">
        <v>80</v>
      </c>
      <c r="C392" s="3" t="s">
        <v>13</v>
      </c>
      <c r="D392" s="3" t="s">
        <v>1579</v>
      </c>
      <c r="E392" s="3" t="s">
        <v>1580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1581</v>
      </c>
      <c r="B393" s="3" t="s">
        <v>80</v>
      </c>
      <c r="C393" s="3" t="s">
        <v>13</v>
      </c>
      <c r="D393" s="3" t="s">
        <v>1582</v>
      </c>
      <c r="E393" s="3" t="s">
        <v>1583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1584</v>
      </c>
      <c r="B394" s="3" t="s">
        <v>80</v>
      </c>
      <c r="C394" s="3" t="s">
        <v>13</v>
      </c>
      <c r="D394" s="3" t="s">
        <v>1585</v>
      </c>
      <c r="E394" s="3" t="s">
        <v>1586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1587</v>
      </c>
      <c r="B395" s="3" t="s">
        <v>80</v>
      </c>
      <c r="C395" s="3" t="s">
        <v>13</v>
      </c>
      <c r="D395" s="3" t="s">
        <v>1582</v>
      </c>
      <c r="E395" s="3" t="s">
        <v>1588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1589</v>
      </c>
      <c r="B396" s="3" t="s">
        <v>80</v>
      </c>
      <c r="C396" s="3" t="s">
        <v>13</v>
      </c>
      <c r="D396" s="3" t="s">
        <v>1590</v>
      </c>
      <c r="E396" s="3" t="s">
        <v>1591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81</v>
      </c>
      <c r="M396" s="3"/>
      <c r="N396" s="3"/>
    </row>
    <row r="397" customFormat="false" ht="15" hidden="false" customHeight="true" outlineLevel="0" collapsed="false">
      <c r="A397" s="3" t="s">
        <v>1592</v>
      </c>
      <c r="B397" s="3" t="s">
        <v>80</v>
      </c>
      <c r="C397" s="3" t="s">
        <v>13</v>
      </c>
      <c r="D397" s="3" t="s">
        <v>1593</v>
      </c>
      <c r="E397" s="3" t="s">
        <v>1594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1595</v>
      </c>
      <c r="B398" s="3" t="s">
        <v>80</v>
      </c>
      <c r="C398" s="3" t="s">
        <v>13</v>
      </c>
      <c r="D398" s="3" t="s">
        <v>1596</v>
      </c>
      <c r="E398" s="3" t="s">
        <v>1597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1598</v>
      </c>
      <c r="B399" s="3" t="s">
        <v>80</v>
      </c>
      <c r="C399" s="3" t="s">
        <v>13</v>
      </c>
      <c r="D399" s="3" t="s">
        <v>1599</v>
      </c>
      <c r="E399" s="3" t="s">
        <v>1600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1601</v>
      </c>
      <c r="B400" s="3" t="s">
        <v>80</v>
      </c>
      <c r="C400" s="3" t="s">
        <v>13</v>
      </c>
      <c r="D400" s="3" t="s">
        <v>1602</v>
      </c>
      <c r="E400" s="3" t="s">
        <v>1603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1604</v>
      </c>
      <c r="B401" s="3" t="s">
        <v>80</v>
      </c>
      <c r="C401" s="3" t="s">
        <v>13</v>
      </c>
      <c r="D401" s="3" t="s">
        <v>1605</v>
      </c>
      <c r="E401" s="3" t="s">
        <v>1606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1607</v>
      </c>
      <c r="B402" s="3" t="s">
        <v>80</v>
      </c>
      <c r="C402" s="3" t="s">
        <v>13</v>
      </c>
      <c r="D402" s="3" t="s">
        <v>1608</v>
      </c>
      <c r="E402" s="3" t="s">
        <v>1609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1610</v>
      </c>
      <c r="B403" s="3" t="s">
        <v>80</v>
      </c>
      <c r="C403" s="3" t="s">
        <v>13</v>
      </c>
      <c r="D403" s="3" t="s">
        <v>1611</v>
      </c>
      <c r="E403" s="3" t="s">
        <v>1612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1613</v>
      </c>
      <c r="B404" s="3" t="s">
        <v>80</v>
      </c>
      <c r="C404" s="3" t="s">
        <v>13</v>
      </c>
      <c r="D404" s="3" t="s">
        <v>1614</v>
      </c>
      <c r="E404" s="3" t="s">
        <v>1615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1616</v>
      </c>
      <c r="B405" s="3" t="s">
        <v>80</v>
      </c>
      <c r="C405" s="3" t="s">
        <v>13</v>
      </c>
      <c r="D405" s="3" t="s">
        <v>1617</v>
      </c>
      <c r="E405" s="3" t="s">
        <v>1618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1619</v>
      </c>
      <c r="B406" s="3" t="s">
        <v>80</v>
      </c>
      <c r="C406" s="3" t="s">
        <v>13</v>
      </c>
      <c r="D406" s="3" t="s">
        <v>1620</v>
      </c>
      <c r="E406" s="3" t="s">
        <v>1621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81</v>
      </c>
      <c r="M406" s="3"/>
      <c r="N406" s="3"/>
    </row>
    <row r="407" customFormat="false" ht="15" hidden="false" customHeight="true" outlineLevel="0" collapsed="false">
      <c r="A407" s="3" t="s">
        <v>1622</v>
      </c>
      <c r="B407" s="3" t="s">
        <v>80</v>
      </c>
      <c r="C407" s="3" t="s">
        <v>13</v>
      </c>
      <c r="D407" s="3" t="s">
        <v>1623</v>
      </c>
      <c r="E407" s="3" t="s">
        <v>1624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81</v>
      </c>
      <c r="M407" s="3"/>
      <c r="N407" s="3"/>
    </row>
    <row r="408" customFormat="false" ht="15" hidden="false" customHeight="true" outlineLevel="0" collapsed="false">
      <c r="A408" s="3" t="s">
        <v>1625</v>
      </c>
      <c r="B408" s="3" t="s">
        <v>80</v>
      </c>
      <c r="C408" s="3" t="s">
        <v>13</v>
      </c>
      <c r="D408" s="3" t="s">
        <v>1626</v>
      </c>
      <c r="E408" s="3" t="s">
        <v>1627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81</v>
      </c>
      <c r="M408" s="3"/>
      <c r="N408" s="3"/>
    </row>
    <row r="409" customFormat="false" ht="15" hidden="false" customHeight="true" outlineLevel="0" collapsed="false">
      <c r="A409" s="3" t="s">
        <v>1628</v>
      </c>
      <c r="B409" s="3" t="s">
        <v>80</v>
      </c>
      <c r="C409" s="3" t="s">
        <v>13</v>
      </c>
      <c r="D409" s="3" t="s">
        <v>1629</v>
      </c>
      <c r="E409" s="3" t="s">
        <v>1630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1631</v>
      </c>
      <c r="B410" s="3" t="s">
        <v>80</v>
      </c>
      <c r="C410" s="3" t="s">
        <v>13</v>
      </c>
      <c r="D410" s="3" t="s">
        <v>1632</v>
      </c>
      <c r="E410" s="3" t="s">
        <v>1633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1634</v>
      </c>
      <c r="B411" s="3" t="s">
        <v>80</v>
      </c>
      <c r="C411" s="3" t="s">
        <v>13</v>
      </c>
      <c r="D411" s="3" t="s">
        <v>1635</v>
      </c>
      <c r="E411" s="3" t="s">
        <v>1636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1637</v>
      </c>
      <c r="B412" s="3" t="s">
        <v>80</v>
      </c>
      <c r="C412" s="3" t="s">
        <v>13</v>
      </c>
      <c r="D412" s="3" t="s">
        <v>1638</v>
      </c>
      <c r="E412" s="3" t="s">
        <v>1639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444</v>
      </c>
      <c r="M412" s="3"/>
      <c r="N412" s="3"/>
    </row>
    <row r="413" customFormat="false" ht="15" hidden="false" customHeight="true" outlineLevel="0" collapsed="false">
      <c r="A413" s="3" t="s">
        <v>1640</v>
      </c>
      <c r="B413" s="3" t="s">
        <v>80</v>
      </c>
      <c r="C413" s="3" t="s">
        <v>13</v>
      </c>
      <c r="D413" s="3" t="s">
        <v>442</v>
      </c>
      <c r="E413" s="3" t="s">
        <v>1641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444</v>
      </c>
      <c r="M413" s="3"/>
      <c r="N413" s="3"/>
    </row>
    <row r="414" customFormat="false" ht="15" hidden="false" customHeight="true" outlineLevel="0" collapsed="false">
      <c r="A414" s="3" t="s">
        <v>1642</v>
      </c>
      <c r="B414" s="3" t="s">
        <v>80</v>
      </c>
      <c r="C414" s="3" t="s">
        <v>13</v>
      </c>
      <c r="D414" s="3" t="s">
        <v>1643</v>
      </c>
      <c r="E414" s="3" t="s">
        <v>1644</v>
      </c>
      <c r="F414" s="3"/>
      <c r="G414" s="3" t="s">
        <v>22</v>
      </c>
      <c r="H414" s="3" t="s">
        <v>2</v>
      </c>
      <c r="I414" s="3" t="s">
        <v>1645</v>
      </c>
      <c r="J414" s="3"/>
      <c r="K414" s="3" t="s">
        <v>19</v>
      </c>
      <c r="L414" s="3"/>
      <c r="M414" s="3" t="s">
        <v>109</v>
      </c>
      <c r="N414" s="3" t="s">
        <v>1646</v>
      </c>
    </row>
    <row r="415" customFormat="false" ht="15" hidden="false" customHeight="true" outlineLevel="0" collapsed="false">
      <c r="A415" s="3" t="s">
        <v>1647</v>
      </c>
      <c r="B415" s="3" t="s">
        <v>80</v>
      </c>
      <c r="C415" s="3" t="s">
        <v>13</v>
      </c>
      <c r="D415" s="3" t="s">
        <v>1648</v>
      </c>
      <c r="E415" s="3" t="s">
        <v>1649</v>
      </c>
      <c r="F415" s="3"/>
      <c r="G415" s="3" t="s">
        <v>22</v>
      </c>
      <c r="H415" s="3" t="s">
        <v>2</v>
      </c>
      <c r="I415" s="3" t="s">
        <v>1650</v>
      </c>
      <c r="J415" s="3"/>
      <c r="K415" s="3" t="s">
        <v>19</v>
      </c>
      <c r="L415" s="3"/>
      <c r="M415" s="3" t="s">
        <v>109</v>
      </c>
      <c r="N415" s="3" t="s">
        <v>1651</v>
      </c>
    </row>
    <row r="416" customFormat="false" ht="15" hidden="false" customHeight="true" outlineLevel="0" collapsed="false">
      <c r="A416" s="3" t="s">
        <v>1652</v>
      </c>
      <c r="B416" s="3" t="s">
        <v>80</v>
      </c>
      <c r="C416" s="3" t="s">
        <v>13</v>
      </c>
      <c r="D416" s="3" t="s">
        <v>1653</v>
      </c>
      <c r="E416" s="3" t="s">
        <v>1654</v>
      </c>
      <c r="F416" s="3"/>
      <c r="G416" s="3" t="s">
        <v>22</v>
      </c>
      <c r="H416" s="3" t="s">
        <v>2</v>
      </c>
      <c r="I416" s="3" t="s">
        <v>1655</v>
      </c>
      <c r="J416" s="3"/>
      <c r="K416" s="3" t="s">
        <v>19</v>
      </c>
      <c r="L416" s="3"/>
      <c r="M416" s="3" t="s">
        <v>109</v>
      </c>
      <c r="N416" s="3" t="s">
        <v>1656</v>
      </c>
    </row>
    <row r="417" customFormat="false" ht="15" hidden="false" customHeight="true" outlineLevel="0" collapsed="false">
      <c r="A417" s="3" t="s">
        <v>1657</v>
      </c>
      <c r="B417" s="3" t="s">
        <v>80</v>
      </c>
      <c r="C417" s="3" t="s">
        <v>13</v>
      </c>
      <c r="D417" s="3" t="s">
        <v>1658</v>
      </c>
      <c r="E417" s="3" t="s">
        <v>1659</v>
      </c>
      <c r="F417" s="3"/>
      <c r="G417" s="3" t="s">
        <v>22</v>
      </c>
      <c r="H417" s="3" t="s">
        <v>2</v>
      </c>
      <c r="I417" s="3" t="s">
        <v>1645</v>
      </c>
      <c r="J417" s="3"/>
      <c r="K417" s="3" t="s">
        <v>19</v>
      </c>
      <c r="L417" s="3"/>
      <c r="M417" s="3" t="s">
        <v>109</v>
      </c>
      <c r="N417" s="3" t="s">
        <v>1660</v>
      </c>
    </row>
    <row r="418" customFormat="false" ht="15" hidden="false" customHeight="true" outlineLevel="0" collapsed="false">
      <c r="A418" s="3" t="s">
        <v>1661</v>
      </c>
      <c r="B418" s="3" t="s">
        <v>80</v>
      </c>
      <c r="C418" s="3" t="s">
        <v>14</v>
      </c>
      <c r="D418" s="3" t="s">
        <v>1662</v>
      </c>
      <c r="E418" s="3" t="s">
        <v>1662</v>
      </c>
      <c r="F418" s="3"/>
      <c r="G418" s="3" t="s">
        <v>22</v>
      </c>
      <c r="H418" s="3" t="s">
        <v>6</v>
      </c>
      <c r="I418" s="3" t="s">
        <v>145</v>
      </c>
      <c r="J418" s="3"/>
      <c r="K418" s="3" t="s">
        <v>17</v>
      </c>
      <c r="L418" s="3" t="s">
        <v>1663</v>
      </c>
      <c r="M418" s="3" t="s">
        <v>109</v>
      </c>
      <c r="N418" s="3" t="s">
        <v>1664</v>
      </c>
    </row>
    <row r="419" customFormat="false" ht="15" hidden="false" customHeight="true" outlineLevel="0" collapsed="false">
      <c r="A419" s="3" t="s">
        <v>1665</v>
      </c>
      <c r="B419" s="3" t="s">
        <v>80</v>
      </c>
      <c r="C419" s="3" t="s">
        <v>10</v>
      </c>
      <c r="D419" s="3" t="s">
        <v>1666</v>
      </c>
      <c r="E419" s="3" t="s">
        <v>1667</v>
      </c>
      <c r="F419" s="3" t="s">
        <v>1668</v>
      </c>
      <c r="G419" s="3" t="s">
        <v>22</v>
      </c>
      <c r="H419" s="3" t="s">
        <v>2</v>
      </c>
      <c r="I419" s="3" t="s">
        <v>1669</v>
      </c>
      <c r="J419" s="3" t="s">
        <v>1670</v>
      </c>
      <c r="K419" s="3" t="s">
        <v>19</v>
      </c>
      <c r="L419" s="3" t="s">
        <v>1671</v>
      </c>
      <c r="M419" s="3" t="s">
        <v>92</v>
      </c>
      <c r="N419" s="3" t="s">
        <v>1672</v>
      </c>
    </row>
    <row r="420" customFormat="false" ht="15" hidden="false" customHeight="true" outlineLevel="0" collapsed="false">
      <c r="A420" s="3" t="s">
        <v>1673</v>
      </c>
      <c r="B420" s="3" t="s">
        <v>80</v>
      </c>
      <c r="C420" s="3" t="s">
        <v>8</v>
      </c>
      <c r="D420" s="3" t="s">
        <v>1674</v>
      </c>
      <c r="E420" s="3" t="s">
        <v>1675</v>
      </c>
      <c r="F420" s="3" t="s">
        <v>1676</v>
      </c>
      <c r="G420" s="3" t="s">
        <v>22</v>
      </c>
      <c r="H420" s="3" t="s">
        <v>2</v>
      </c>
      <c r="I420" s="3" t="s">
        <v>1677</v>
      </c>
      <c r="J420" s="3"/>
      <c r="K420" s="3" t="s">
        <v>19</v>
      </c>
      <c r="L420" s="3" t="s">
        <v>1678</v>
      </c>
      <c r="M420" s="3" t="s">
        <v>92</v>
      </c>
      <c r="N420" s="3" t="s">
        <v>1679</v>
      </c>
    </row>
    <row r="421" customFormat="false" ht="15" hidden="false" customHeight="true" outlineLevel="0" collapsed="false">
      <c r="A421" s="3" t="s">
        <v>1680</v>
      </c>
      <c r="B421" s="3" t="s">
        <v>80</v>
      </c>
      <c r="C421" s="3" t="s">
        <v>8</v>
      </c>
      <c r="D421" s="3" t="s">
        <v>1681</v>
      </c>
      <c r="E421" s="3" t="s">
        <v>1682</v>
      </c>
      <c r="F421" s="3" t="s">
        <v>1683</v>
      </c>
      <c r="G421" s="3" t="s">
        <v>22</v>
      </c>
      <c r="H421" s="3" t="s">
        <v>2</v>
      </c>
      <c r="I421" s="3" t="s">
        <v>1684</v>
      </c>
      <c r="J421" s="3"/>
      <c r="K421" s="3" t="s">
        <v>19</v>
      </c>
      <c r="L421" s="3" t="s">
        <v>1678</v>
      </c>
      <c r="M421" s="3" t="s">
        <v>92</v>
      </c>
      <c r="N421" s="3" t="s">
        <v>1685</v>
      </c>
    </row>
    <row r="422" customFormat="false" ht="15" hidden="false" customHeight="true" outlineLevel="0" collapsed="false">
      <c r="A422" s="3" t="s">
        <v>1686</v>
      </c>
      <c r="B422" s="3" t="s">
        <v>80</v>
      </c>
      <c r="C422" s="3" t="s">
        <v>9</v>
      </c>
      <c r="D422" s="3" t="s">
        <v>1687</v>
      </c>
      <c r="E422" s="3" t="s">
        <v>1688</v>
      </c>
      <c r="F422" s="3" t="s">
        <v>1689</v>
      </c>
      <c r="G422" s="3" t="s">
        <v>22</v>
      </c>
      <c r="H422" s="3" t="s">
        <v>2</v>
      </c>
      <c r="I422" s="3" t="s">
        <v>1690</v>
      </c>
      <c r="J422" s="3"/>
      <c r="K422" s="3" t="s">
        <v>19</v>
      </c>
      <c r="L422" s="3" t="s">
        <v>1678</v>
      </c>
      <c r="M422" s="3" t="s">
        <v>92</v>
      </c>
      <c r="N422" s="3" t="s">
        <v>1691</v>
      </c>
    </row>
    <row r="423" customFormat="false" ht="15" hidden="false" customHeight="true" outlineLevel="0" collapsed="false">
      <c r="A423" s="3" t="s">
        <v>1692</v>
      </c>
      <c r="B423" s="3" t="s">
        <v>80</v>
      </c>
      <c r="C423" s="3" t="s">
        <v>8</v>
      </c>
      <c r="D423" s="3" t="s">
        <v>1693</v>
      </c>
      <c r="E423" s="3" t="s">
        <v>1694</v>
      </c>
      <c r="F423" s="3" t="s">
        <v>1695</v>
      </c>
      <c r="G423" s="3" t="s">
        <v>22</v>
      </c>
      <c r="H423" s="3" t="s">
        <v>2</v>
      </c>
      <c r="I423" s="3" t="s">
        <v>1696</v>
      </c>
      <c r="J423" s="3"/>
      <c r="K423" s="3" t="s">
        <v>19</v>
      </c>
      <c r="L423" s="3" t="s">
        <v>1678</v>
      </c>
      <c r="M423" s="3" t="s">
        <v>92</v>
      </c>
      <c r="N423" s="3" t="s">
        <v>1697</v>
      </c>
    </row>
    <row r="424" customFormat="false" ht="15" hidden="false" customHeight="true" outlineLevel="0" collapsed="false">
      <c r="A424" s="3" t="s">
        <v>1698</v>
      </c>
      <c r="B424" s="3" t="s">
        <v>80</v>
      </c>
      <c r="C424" s="3" t="s">
        <v>10</v>
      </c>
      <c r="D424" s="3" t="s">
        <v>1699</v>
      </c>
      <c r="E424" s="3" t="s">
        <v>1700</v>
      </c>
      <c r="F424" s="3" t="s">
        <v>1701</v>
      </c>
      <c r="G424" s="3" t="s">
        <v>22</v>
      </c>
      <c r="H424" s="3" t="s">
        <v>2</v>
      </c>
      <c r="I424" s="3" t="s">
        <v>1702</v>
      </c>
      <c r="J424" s="3"/>
      <c r="K424" s="3" t="s">
        <v>19</v>
      </c>
      <c r="L424" s="3" t="s">
        <v>1703</v>
      </c>
      <c r="M424" s="3" t="s">
        <v>92</v>
      </c>
      <c r="N424" s="3" t="s">
        <v>1704</v>
      </c>
    </row>
    <row r="425" customFormat="false" ht="15" hidden="false" customHeight="true" outlineLevel="0" collapsed="false">
      <c r="A425" s="3" t="s">
        <v>1705</v>
      </c>
      <c r="B425" s="3" t="s">
        <v>80</v>
      </c>
      <c r="C425" s="3" t="s">
        <v>11</v>
      </c>
      <c r="D425" s="3" t="s">
        <v>1706</v>
      </c>
      <c r="E425" s="3" t="s">
        <v>1707</v>
      </c>
      <c r="F425" s="3" t="s">
        <v>1708</v>
      </c>
      <c r="G425" s="3" t="s">
        <v>22</v>
      </c>
      <c r="H425" s="3" t="s">
        <v>2</v>
      </c>
      <c r="I425" s="3" t="s">
        <v>1709</v>
      </c>
      <c r="J425" s="3"/>
      <c r="K425" s="3" t="s">
        <v>19</v>
      </c>
      <c r="L425" s="3" t="s">
        <v>1710</v>
      </c>
      <c r="M425" s="3" t="s">
        <v>109</v>
      </c>
      <c r="N425" s="3" t="s">
        <v>1711</v>
      </c>
    </row>
    <row r="426" customFormat="false" ht="15" hidden="false" customHeight="true" outlineLevel="0" collapsed="false">
      <c r="A426" s="3" t="s">
        <v>1712</v>
      </c>
      <c r="B426" s="3" t="s">
        <v>80</v>
      </c>
      <c r="C426" s="3" t="s">
        <v>11</v>
      </c>
      <c r="D426" s="3" t="s">
        <v>1713</v>
      </c>
      <c r="E426" s="3" t="s">
        <v>1714</v>
      </c>
      <c r="F426" s="3" t="s">
        <v>1715</v>
      </c>
      <c r="G426" s="3" t="s">
        <v>22</v>
      </c>
      <c r="H426" s="3" t="s">
        <v>2</v>
      </c>
      <c r="I426" s="3" t="s">
        <v>1716</v>
      </c>
      <c r="J426" s="3"/>
      <c r="K426" s="3" t="s">
        <v>19</v>
      </c>
      <c r="L426" s="3" t="s">
        <v>1717</v>
      </c>
      <c r="M426" s="3" t="s">
        <v>109</v>
      </c>
      <c r="N426" s="3" t="s">
        <v>1718</v>
      </c>
    </row>
    <row r="427" customFormat="false" ht="15" hidden="false" customHeight="true" outlineLevel="0" collapsed="false">
      <c r="A427" s="3" t="s">
        <v>1719</v>
      </c>
      <c r="B427" s="3" t="s">
        <v>80</v>
      </c>
      <c r="C427" s="3" t="s">
        <v>11</v>
      </c>
      <c r="D427" s="3" t="s">
        <v>1720</v>
      </c>
      <c r="E427" s="3" t="s">
        <v>1721</v>
      </c>
      <c r="F427" s="3" t="s">
        <v>1722</v>
      </c>
      <c r="G427" s="3" t="s">
        <v>22</v>
      </c>
      <c r="H427" s="3" t="s">
        <v>2</v>
      </c>
      <c r="I427" s="3" t="s">
        <v>1723</v>
      </c>
      <c r="J427" s="3"/>
      <c r="K427" s="3" t="s">
        <v>19</v>
      </c>
      <c r="L427" s="3" t="s">
        <v>1724</v>
      </c>
      <c r="M427" s="3" t="s">
        <v>109</v>
      </c>
      <c r="N427" s="3" t="s">
        <v>1725</v>
      </c>
    </row>
    <row r="428" customFormat="false" ht="15" hidden="false" customHeight="true" outlineLevel="0" collapsed="false">
      <c r="A428" s="3" t="s">
        <v>1726</v>
      </c>
      <c r="B428" s="3" t="s">
        <v>80</v>
      </c>
      <c r="C428" s="3" t="s">
        <v>11</v>
      </c>
      <c r="D428" s="3" t="s">
        <v>1727</v>
      </c>
      <c r="E428" s="3" t="s">
        <v>1728</v>
      </c>
      <c r="F428" s="3" t="s">
        <v>1729</v>
      </c>
      <c r="G428" s="3" t="s">
        <v>22</v>
      </c>
      <c r="H428" s="3" t="s">
        <v>2</v>
      </c>
      <c r="I428" s="3" t="s">
        <v>1730</v>
      </c>
      <c r="J428" s="3"/>
      <c r="K428" s="3" t="s">
        <v>18</v>
      </c>
      <c r="L428" s="3" t="s">
        <v>1731</v>
      </c>
      <c r="M428" s="3" t="s">
        <v>109</v>
      </c>
      <c r="N428" s="3"/>
    </row>
    <row r="429" customFormat="false" ht="15" hidden="false" customHeight="true" outlineLevel="0" collapsed="false">
      <c r="A429" s="3" t="s">
        <v>1732</v>
      </c>
      <c r="B429" s="3" t="s">
        <v>80</v>
      </c>
      <c r="C429" s="3" t="s">
        <v>11</v>
      </c>
      <c r="D429" s="3" t="s">
        <v>1733</v>
      </c>
      <c r="E429" s="3" t="s">
        <v>1734</v>
      </c>
      <c r="F429" s="3" t="s">
        <v>1735</v>
      </c>
      <c r="G429" s="3" t="s">
        <v>22</v>
      </c>
      <c r="H429" s="3" t="s">
        <v>3</v>
      </c>
      <c r="I429" s="3" t="s">
        <v>1736</v>
      </c>
      <c r="J429" s="3" t="s">
        <v>1737</v>
      </c>
      <c r="K429" s="3" t="s">
        <v>18</v>
      </c>
      <c r="L429" s="3" t="s">
        <v>1738</v>
      </c>
      <c r="M429" s="3" t="s">
        <v>109</v>
      </c>
      <c r="N429" s="3"/>
    </row>
    <row r="430" customFormat="false" ht="15" hidden="false" customHeight="true" outlineLevel="0" collapsed="false">
      <c r="A430" s="3" t="s">
        <v>1739</v>
      </c>
      <c r="B430" s="3" t="s">
        <v>80</v>
      </c>
      <c r="C430" s="3" t="s">
        <v>11</v>
      </c>
      <c r="D430" s="3" t="s">
        <v>1740</v>
      </c>
      <c r="E430" s="3" t="s">
        <v>1741</v>
      </c>
      <c r="F430" s="3" t="s">
        <v>1742</v>
      </c>
      <c r="G430" s="3" t="s">
        <v>22</v>
      </c>
      <c r="H430" s="3" t="s">
        <v>2</v>
      </c>
      <c r="I430" s="3" t="s">
        <v>1743</v>
      </c>
      <c r="J430" s="3"/>
      <c r="K430" s="3" t="s">
        <v>19</v>
      </c>
      <c r="L430" s="3" t="s">
        <v>1744</v>
      </c>
      <c r="M430" s="3" t="s">
        <v>109</v>
      </c>
      <c r="N430" s="3" t="s">
        <v>1745</v>
      </c>
    </row>
    <row r="431" customFormat="false" ht="15" hidden="false" customHeight="true" outlineLevel="0" collapsed="false">
      <c r="A431" s="3" t="s">
        <v>1746</v>
      </c>
      <c r="B431" s="3" t="s">
        <v>80</v>
      </c>
      <c r="C431" s="3" t="s">
        <v>11</v>
      </c>
      <c r="D431" s="3" t="s">
        <v>1747</v>
      </c>
      <c r="E431" s="3" t="s">
        <v>1748</v>
      </c>
      <c r="F431" s="3" t="s">
        <v>1749</v>
      </c>
      <c r="G431" s="3" t="s">
        <v>22</v>
      </c>
      <c r="H431" s="3" t="s">
        <v>2</v>
      </c>
      <c r="I431" s="3" t="s">
        <v>1750</v>
      </c>
      <c r="J431" s="3"/>
      <c r="K431" s="3" t="s">
        <v>19</v>
      </c>
      <c r="L431" s="3" t="s">
        <v>1751</v>
      </c>
      <c r="M431" s="3" t="s">
        <v>109</v>
      </c>
      <c r="N431" s="3" t="s">
        <v>1752</v>
      </c>
    </row>
    <row r="432" customFormat="false" ht="15" hidden="false" customHeight="true" outlineLevel="0" collapsed="false">
      <c r="A432" s="3" t="s">
        <v>1753</v>
      </c>
      <c r="B432" s="3" t="s">
        <v>80</v>
      </c>
      <c r="C432" s="3" t="s">
        <v>11</v>
      </c>
      <c r="D432" s="3" t="s">
        <v>1754</v>
      </c>
      <c r="E432" s="3" t="s">
        <v>1755</v>
      </c>
      <c r="F432" s="3" t="s">
        <v>1756</v>
      </c>
      <c r="G432" s="3" t="s">
        <v>22</v>
      </c>
      <c r="H432" s="3" t="s">
        <v>2</v>
      </c>
      <c r="I432" s="3" t="s">
        <v>1757</v>
      </c>
      <c r="J432" s="3"/>
      <c r="K432" s="3" t="s">
        <v>19</v>
      </c>
      <c r="L432" s="3" t="s">
        <v>1758</v>
      </c>
      <c r="M432" s="3" t="s">
        <v>109</v>
      </c>
      <c r="N432" s="3" t="s">
        <v>1759</v>
      </c>
    </row>
    <row r="433" customFormat="false" ht="15" hidden="false" customHeight="true" outlineLevel="0" collapsed="false">
      <c r="A433" s="3" t="s">
        <v>1760</v>
      </c>
      <c r="B433" s="3" t="s">
        <v>80</v>
      </c>
      <c r="C433" s="3" t="s">
        <v>11</v>
      </c>
      <c r="D433" s="3" t="s">
        <v>1761</v>
      </c>
      <c r="E433" s="3" t="s">
        <v>1762</v>
      </c>
      <c r="F433" s="3" t="s">
        <v>1763</v>
      </c>
      <c r="G433" s="3" t="s">
        <v>22</v>
      </c>
      <c r="H433" s="3" t="s">
        <v>2</v>
      </c>
      <c r="I433" s="3" t="s">
        <v>1764</v>
      </c>
      <c r="J433" s="3"/>
      <c r="K433" s="3" t="s">
        <v>19</v>
      </c>
      <c r="L433" s="3" t="s">
        <v>1765</v>
      </c>
      <c r="M433" s="3" t="s">
        <v>109</v>
      </c>
      <c r="N433" s="3" t="s">
        <v>1766</v>
      </c>
    </row>
    <row r="434" customFormat="false" ht="15" hidden="false" customHeight="true" outlineLevel="0" collapsed="false">
      <c r="A434" s="3" t="s">
        <v>1767</v>
      </c>
      <c r="B434" s="3" t="s">
        <v>80</v>
      </c>
      <c r="C434" s="3" t="s">
        <v>11</v>
      </c>
      <c r="D434" s="3" t="s">
        <v>1768</v>
      </c>
      <c r="E434" s="3" t="s">
        <v>1769</v>
      </c>
      <c r="F434" s="3" t="s">
        <v>1770</v>
      </c>
      <c r="G434" s="3" t="s">
        <v>22</v>
      </c>
      <c r="H434" s="3" t="s">
        <v>2</v>
      </c>
      <c r="I434" s="3" t="s">
        <v>1771</v>
      </c>
      <c r="J434" s="3"/>
      <c r="K434" s="3" t="s">
        <v>19</v>
      </c>
      <c r="L434" s="3" t="s">
        <v>1772</v>
      </c>
      <c r="M434" s="3" t="s">
        <v>109</v>
      </c>
      <c r="N434" s="3" t="s">
        <v>1773</v>
      </c>
    </row>
    <row r="435" customFormat="false" ht="15" hidden="false" customHeight="true" outlineLevel="0" collapsed="false">
      <c r="A435" s="3" t="s">
        <v>1774</v>
      </c>
      <c r="B435" s="3" t="s">
        <v>80</v>
      </c>
      <c r="C435" s="3" t="s">
        <v>12</v>
      </c>
      <c r="D435" s="3" t="s">
        <v>1775</v>
      </c>
      <c r="E435" s="3" t="s">
        <v>1776</v>
      </c>
      <c r="F435" s="3"/>
      <c r="G435" s="3" t="s">
        <v>22</v>
      </c>
      <c r="H435" s="3" t="s">
        <v>2</v>
      </c>
      <c r="I435" s="3" t="s">
        <v>1040</v>
      </c>
      <c r="J435" s="3" t="s">
        <v>98</v>
      </c>
      <c r="K435" s="3" t="s">
        <v>19</v>
      </c>
      <c r="L435" s="3" t="s">
        <v>1777</v>
      </c>
      <c r="M435" s="15" t="n">
        <v>46327</v>
      </c>
      <c r="N435" s="3"/>
    </row>
    <row r="436" customFormat="false" ht="15" hidden="false" customHeight="true" outlineLevel="0" collapsed="false">
      <c r="A436" s="3" t="s">
        <v>1778</v>
      </c>
      <c r="B436" s="3" t="s">
        <v>80</v>
      </c>
      <c r="C436" s="3" t="s">
        <v>12</v>
      </c>
      <c r="D436" s="3" t="s">
        <v>1779</v>
      </c>
      <c r="E436" s="3" t="s">
        <v>1780</v>
      </c>
      <c r="F436" s="3"/>
      <c r="G436" s="3" t="s">
        <v>22</v>
      </c>
      <c r="H436" s="3" t="s">
        <v>2</v>
      </c>
      <c r="I436" s="3" t="s">
        <v>1078</v>
      </c>
      <c r="J436" s="3" t="s">
        <v>98</v>
      </c>
      <c r="K436" s="3" t="s">
        <v>19</v>
      </c>
      <c r="L436" s="3" t="s">
        <v>1781</v>
      </c>
      <c r="M436" s="15" t="n">
        <v>46327</v>
      </c>
      <c r="N436" s="3"/>
    </row>
    <row r="437" customFormat="false" ht="15" hidden="false" customHeight="true" outlineLevel="0" collapsed="false">
      <c r="A437" s="3" t="s">
        <v>1782</v>
      </c>
      <c r="B437" s="3" t="s">
        <v>80</v>
      </c>
      <c r="C437" s="3" t="s">
        <v>12</v>
      </c>
      <c r="D437" s="3" t="s">
        <v>1783</v>
      </c>
      <c r="E437" s="3" t="s">
        <v>1784</v>
      </c>
      <c r="F437" s="3"/>
      <c r="G437" s="3" t="s">
        <v>22</v>
      </c>
      <c r="H437" s="3" t="s">
        <v>3</v>
      </c>
      <c r="I437" s="3" t="s">
        <v>1785</v>
      </c>
      <c r="J437" s="3" t="s">
        <v>1786</v>
      </c>
      <c r="K437" s="3" t="s">
        <v>19</v>
      </c>
      <c r="L437" s="3" t="s">
        <v>1787</v>
      </c>
      <c r="M437" s="15" t="n">
        <v>46327</v>
      </c>
      <c r="N437" s="3"/>
    </row>
    <row r="438" customFormat="false" ht="15" hidden="false" customHeight="true" outlineLevel="0" collapsed="false">
      <c r="A438" s="3" t="s">
        <v>1788</v>
      </c>
      <c r="B438" s="3" t="s">
        <v>80</v>
      </c>
      <c r="C438" s="3" t="s">
        <v>10</v>
      </c>
      <c r="D438" s="3" t="s">
        <v>1789</v>
      </c>
      <c r="E438" s="3" t="s">
        <v>1790</v>
      </c>
      <c r="F438" s="3" t="s">
        <v>1791</v>
      </c>
      <c r="G438" s="3" t="s">
        <v>22</v>
      </c>
      <c r="H438" s="3" t="s">
        <v>3</v>
      </c>
      <c r="I438" s="3" t="s">
        <v>1792</v>
      </c>
      <c r="J438" s="3" t="s">
        <v>1793</v>
      </c>
      <c r="K438" s="3" t="s">
        <v>18</v>
      </c>
      <c r="L438" s="3" t="s">
        <v>1794</v>
      </c>
      <c r="M438" s="3" t="s">
        <v>92</v>
      </c>
      <c r="N438" s="3" t="s">
        <v>1795</v>
      </c>
    </row>
    <row r="439" customFormat="false" ht="15" hidden="false" customHeight="true" outlineLevel="0" collapsed="false">
      <c r="A439" s="3" t="s">
        <v>1796</v>
      </c>
      <c r="B439" s="3" t="s">
        <v>80</v>
      </c>
      <c r="C439" s="3" t="s">
        <v>8</v>
      </c>
      <c r="D439" s="3" t="s">
        <v>1797</v>
      </c>
      <c r="E439" s="3" t="s">
        <v>1798</v>
      </c>
      <c r="F439" s="3" t="s">
        <v>1799</v>
      </c>
      <c r="G439" s="3" t="s">
        <v>22</v>
      </c>
      <c r="H439" s="3" t="s">
        <v>3</v>
      </c>
      <c r="I439" s="3" t="s">
        <v>1800</v>
      </c>
      <c r="J439" s="3" t="s">
        <v>1801</v>
      </c>
      <c r="K439" s="3" t="s">
        <v>18</v>
      </c>
      <c r="L439" s="3" t="s">
        <v>1802</v>
      </c>
      <c r="M439" s="3" t="s">
        <v>92</v>
      </c>
      <c r="N439" s="3" t="s">
        <v>1803</v>
      </c>
    </row>
    <row r="440" customFormat="false" ht="15" hidden="false" customHeight="true" outlineLevel="0" collapsed="false">
      <c r="A440" s="3" t="s">
        <v>1804</v>
      </c>
      <c r="B440" s="3" t="s">
        <v>80</v>
      </c>
      <c r="C440" s="3" t="s">
        <v>8</v>
      </c>
      <c r="D440" s="3" t="s">
        <v>1805</v>
      </c>
      <c r="E440" s="3" t="s">
        <v>1806</v>
      </c>
      <c r="F440" s="3" t="s">
        <v>1807</v>
      </c>
      <c r="G440" s="3" t="s">
        <v>22</v>
      </c>
      <c r="H440" s="3" t="s">
        <v>3</v>
      </c>
      <c r="I440" s="3" t="s">
        <v>1808</v>
      </c>
      <c r="J440" s="3" t="s">
        <v>1809</v>
      </c>
      <c r="K440" s="3" t="s">
        <v>18</v>
      </c>
      <c r="L440" s="3" t="s">
        <v>1810</v>
      </c>
      <c r="M440" s="3" t="s">
        <v>92</v>
      </c>
      <c r="N440" s="3" t="s">
        <v>1811</v>
      </c>
    </row>
    <row r="441" customFormat="false" ht="15" hidden="false" customHeight="true" outlineLevel="0" collapsed="false">
      <c r="A441" s="3" t="s">
        <v>1812</v>
      </c>
      <c r="B441" s="3" t="s">
        <v>80</v>
      </c>
      <c r="C441" s="3" t="s">
        <v>9</v>
      </c>
      <c r="D441" s="3" t="s">
        <v>1687</v>
      </c>
      <c r="E441" s="3" t="s">
        <v>1813</v>
      </c>
      <c r="F441" s="3" t="s">
        <v>1814</v>
      </c>
      <c r="G441" s="3" t="s">
        <v>22</v>
      </c>
      <c r="H441" s="3" t="s">
        <v>2</v>
      </c>
      <c r="I441" s="3" t="s">
        <v>1690</v>
      </c>
      <c r="J441" s="3"/>
      <c r="K441" s="3" t="s">
        <v>18</v>
      </c>
      <c r="L441" s="3" t="s">
        <v>1815</v>
      </c>
      <c r="M441" s="3" t="s">
        <v>92</v>
      </c>
      <c r="N441" s="3" t="s">
        <v>1816</v>
      </c>
    </row>
    <row r="442" customFormat="false" ht="15" hidden="false" customHeight="true" outlineLevel="0" collapsed="false">
      <c r="A442" s="3" t="s">
        <v>1817</v>
      </c>
      <c r="B442" s="3" t="s">
        <v>80</v>
      </c>
      <c r="C442" s="3" t="s">
        <v>8</v>
      </c>
      <c r="D442" s="3" t="s">
        <v>1693</v>
      </c>
      <c r="E442" s="3" t="s">
        <v>1818</v>
      </c>
      <c r="F442" s="3" t="s">
        <v>1819</v>
      </c>
      <c r="G442" s="3" t="s">
        <v>22</v>
      </c>
      <c r="H442" s="3" t="s">
        <v>2</v>
      </c>
      <c r="I442" s="3" t="s">
        <v>1820</v>
      </c>
      <c r="J442" s="3"/>
      <c r="K442" s="3" t="s">
        <v>18</v>
      </c>
      <c r="L442" s="3" t="s">
        <v>1821</v>
      </c>
      <c r="M442" s="3" t="s">
        <v>92</v>
      </c>
      <c r="N442" s="3" t="s">
        <v>1822</v>
      </c>
    </row>
    <row r="443" customFormat="false" ht="15" hidden="false" customHeight="true" outlineLevel="0" collapsed="false">
      <c r="A443" s="3" t="s">
        <v>1823</v>
      </c>
      <c r="B443" s="3" t="s">
        <v>80</v>
      </c>
      <c r="C443" s="3" t="s">
        <v>10</v>
      </c>
      <c r="D443" s="3" t="s">
        <v>1824</v>
      </c>
      <c r="E443" s="3" t="s">
        <v>1825</v>
      </c>
      <c r="F443" s="3" t="s">
        <v>1826</v>
      </c>
      <c r="G443" s="3" t="s">
        <v>22</v>
      </c>
      <c r="H443" s="3" t="s">
        <v>2</v>
      </c>
      <c r="I443" s="3" t="s">
        <v>1827</v>
      </c>
      <c r="J443" s="3"/>
      <c r="K443" s="3" t="s">
        <v>18</v>
      </c>
      <c r="L443" s="3" t="s">
        <v>1828</v>
      </c>
      <c r="M443" s="3" t="s">
        <v>92</v>
      </c>
      <c r="N443" s="3" t="s">
        <v>1829</v>
      </c>
    </row>
    <row r="444" customFormat="false" ht="15" hidden="false" customHeight="true" outlineLevel="0" collapsed="false">
      <c r="A444" s="3" t="s">
        <v>1830</v>
      </c>
      <c r="B444" s="3" t="s">
        <v>80</v>
      </c>
      <c r="C444" s="3" t="s">
        <v>11</v>
      </c>
      <c r="D444" s="3" t="s">
        <v>1706</v>
      </c>
      <c r="E444" s="3" t="s">
        <v>1831</v>
      </c>
      <c r="F444" s="3" t="s">
        <v>1832</v>
      </c>
      <c r="G444" s="3" t="s">
        <v>22</v>
      </c>
      <c r="H444" s="3" t="s">
        <v>3</v>
      </c>
      <c r="I444" s="3" t="s">
        <v>1833</v>
      </c>
      <c r="J444" s="3" t="s">
        <v>1834</v>
      </c>
      <c r="K444" s="3" t="s">
        <v>18</v>
      </c>
      <c r="L444" s="3" t="s">
        <v>1835</v>
      </c>
      <c r="M444" s="3" t="s">
        <v>109</v>
      </c>
      <c r="N444" s="3" t="s">
        <v>1836</v>
      </c>
    </row>
    <row r="445" customFormat="false" ht="15" hidden="false" customHeight="true" outlineLevel="0" collapsed="false">
      <c r="A445" s="3" t="s">
        <v>1837</v>
      </c>
      <c r="B445" s="3" t="s">
        <v>80</v>
      </c>
      <c r="C445" s="3" t="s">
        <v>11</v>
      </c>
      <c r="D445" s="3" t="s">
        <v>1713</v>
      </c>
      <c r="E445" s="3" t="s">
        <v>1838</v>
      </c>
      <c r="F445" s="3" t="s">
        <v>1839</v>
      </c>
      <c r="G445" s="3" t="s">
        <v>22</v>
      </c>
      <c r="H445" s="3" t="s">
        <v>2</v>
      </c>
      <c r="I445" s="3" t="s">
        <v>1840</v>
      </c>
      <c r="J445" s="3" t="s">
        <v>1841</v>
      </c>
      <c r="K445" s="3" t="s">
        <v>18</v>
      </c>
      <c r="L445" s="3" t="s">
        <v>1842</v>
      </c>
      <c r="M445" s="3" t="s">
        <v>109</v>
      </c>
      <c r="N445" s="3" t="s">
        <v>838</v>
      </c>
    </row>
    <row r="446" customFormat="false" ht="15" hidden="false" customHeight="true" outlineLevel="0" collapsed="false">
      <c r="A446" s="3" t="s">
        <v>1843</v>
      </c>
      <c r="B446" s="3" t="s">
        <v>80</v>
      </c>
      <c r="C446" s="3" t="s">
        <v>11</v>
      </c>
      <c r="D446" s="3" t="s">
        <v>1844</v>
      </c>
      <c r="E446" s="3" t="s">
        <v>1845</v>
      </c>
      <c r="F446" s="3" t="s">
        <v>1846</v>
      </c>
      <c r="G446" s="3" t="s">
        <v>22</v>
      </c>
      <c r="H446" s="3" t="s">
        <v>3</v>
      </c>
      <c r="I446" s="3" t="s">
        <v>1847</v>
      </c>
      <c r="J446" s="3" t="s">
        <v>1848</v>
      </c>
      <c r="K446" s="3" t="s">
        <v>18</v>
      </c>
      <c r="L446" s="3" t="s">
        <v>1849</v>
      </c>
      <c r="M446" s="3" t="s">
        <v>109</v>
      </c>
      <c r="N446" s="3" t="s">
        <v>1850</v>
      </c>
    </row>
    <row r="447" customFormat="false" ht="15" hidden="false" customHeight="true" outlineLevel="0" collapsed="false">
      <c r="A447" s="3" t="s">
        <v>1851</v>
      </c>
      <c r="B447" s="3" t="s">
        <v>80</v>
      </c>
      <c r="C447" s="3" t="s">
        <v>11</v>
      </c>
      <c r="D447" s="3" t="s">
        <v>1852</v>
      </c>
      <c r="E447" s="3" t="s">
        <v>1853</v>
      </c>
      <c r="F447" s="3" t="s">
        <v>1854</v>
      </c>
      <c r="G447" s="3" t="s">
        <v>22</v>
      </c>
      <c r="H447" s="3" t="s">
        <v>3</v>
      </c>
      <c r="I447" s="3" t="s">
        <v>1730</v>
      </c>
      <c r="J447" s="3" t="s">
        <v>1855</v>
      </c>
      <c r="K447" s="3" t="s">
        <v>18</v>
      </c>
      <c r="L447" s="3" t="s">
        <v>1856</v>
      </c>
      <c r="M447" s="3" t="s">
        <v>109</v>
      </c>
      <c r="N447" s="3"/>
    </row>
    <row r="448" customFormat="false" ht="15" hidden="false" customHeight="true" outlineLevel="0" collapsed="false">
      <c r="A448" s="3" t="s">
        <v>1857</v>
      </c>
      <c r="B448" s="3" t="s">
        <v>80</v>
      </c>
      <c r="C448" s="3" t="s">
        <v>11</v>
      </c>
      <c r="D448" s="3" t="s">
        <v>1858</v>
      </c>
      <c r="E448" s="3" t="s">
        <v>1859</v>
      </c>
      <c r="F448" s="3" t="s">
        <v>1860</v>
      </c>
      <c r="G448" s="3" t="s">
        <v>22</v>
      </c>
      <c r="H448" s="3" t="s">
        <v>3</v>
      </c>
      <c r="I448" s="3" t="s">
        <v>1736</v>
      </c>
      <c r="J448" s="3" t="s">
        <v>1861</v>
      </c>
      <c r="K448" s="3" t="s">
        <v>18</v>
      </c>
      <c r="L448" s="3" t="s">
        <v>1862</v>
      </c>
      <c r="M448" s="3" t="s">
        <v>109</v>
      </c>
      <c r="N448" s="3"/>
    </row>
    <row r="449" customFormat="false" ht="15" hidden="false" customHeight="true" outlineLevel="0" collapsed="false">
      <c r="A449" s="3" t="s">
        <v>1863</v>
      </c>
      <c r="B449" s="3" t="s">
        <v>80</v>
      </c>
      <c r="C449" s="3" t="s">
        <v>11</v>
      </c>
      <c r="D449" s="3" t="s">
        <v>1864</v>
      </c>
      <c r="E449" s="3" t="s">
        <v>1865</v>
      </c>
      <c r="F449" s="3" t="s">
        <v>1866</v>
      </c>
      <c r="G449" s="3" t="s">
        <v>22</v>
      </c>
      <c r="H449" s="3" t="s">
        <v>2</v>
      </c>
      <c r="I449" s="3" t="s">
        <v>1743</v>
      </c>
      <c r="J449" s="3"/>
      <c r="K449" s="3" t="s">
        <v>19</v>
      </c>
      <c r="L449" s="3" t="s">
        <v>1744</v>
      </c>
      <c r="M449" s="3" t="s">
        <v>109</v>
      </c>
      <c r="N449" s="3" t="s">
        <v>1867</v>
      </c>
    </row>
    <row r="450" customFormat="false" ht="15" hidden="false" customHeight="true" outlineLevel="0" collapsed="false">
      <c r="A450" s="3" t="s">
        <v>1868</v>
      </c>
      <c r="B450" s="3" t="s">
        <v>80</v>
      </c>
      <c r="C450" s="3" t="s">
        <v>11</v>
      </c>
      <c r="D450" s="3" t="s">
        <v>1869</v>
      </c>
      <c r="E450" s="3" t="s">
        <v>1870</v>
      </c>
      <c r="F450" s="3" t="s">
        <v>1871</v>
      </c>
      <c r="G450" s="3" t="s">
        <v>22</v>
      </c>
      <c r="H450" s="3" t="s">
        <v>2</v>
      </c>
      <c r="I450" s="3" t="s">
        <v>1872</v>
      </c>
      <c r="J450" s="3"/>
      <c r="K450" s="3" t="s">
        <v>19</v>
      </c>
      <c r="L450" s="3" t="s">
        <v>1873</v>
      </c>
      <c r="M450" s="3" t="s">
        <v>109</v>
      </c>
      <c r="N450" s="3" t="s">
        <v>1874</v>
      </c>
    </row>
    <row r="451" customFormat="false" ht="15" hidden="false" customHeight="true" outlineLevel="0" collapsed="false">
      <c r="A451" s="3" t="s">
        <v>1875</v>
      </c>
      <c r="B451" s="3" t="s">
        <v>80</v>
      </c>
      <c r="C451" s="3" t="s">
        <v>11</v>
      </c>
      <c r="D451" s="3" t="s">
        <v>1876</v>
      </c>
      <c r="E451" s="3" t="s">
        <v>1877</v>
      </c>
      <c r="F451" s="3" t="s">
        <v>1878</v>
      </c>
      <c r="G451" s="3" t="s">
        <v>22</v>
      </c>
      <c r="H451" s="3" t="s">
        <v>2</v>
      </c>
      <c r="I451" s="3" t="s">
        <v>1879</v>
      </c>
      <c r="J451" s="3"/>
      <c r="K451" s="3" t="s">
        <v>19</v>
      </c>
      <c r="L451" s="3" t="s">
        <v>1880</v>
      </c>
      <c r="M451" s="3" t="s">
        <v>109</v>
      </c>
      <c r="N451" s="3" t="s">
        <v>1881</v>
      </c>
    </row>
    <row r="452" customFormat="false" ht="15" hidden="false" customHeight="true" outlineLevel="0" collapsed="false">
      <c r="A452" s="3" t="s">
        <v>1882</v>
      </c>
      <c r="B452" s="3" t="s">
        <v>80</v>
      </c>
      <c r="C452" s="3" t="s">
        <v>11</v>
      </c>
      <c r="D452" s="3" t="s">
        <v>1883</v>
      </c>
      <c r="E452" s="3" t="s">
        <v>1884</v>
      </c>
      <c r="F452" s="3" t="s">
        <v>1885</v>
      </c>
      <c r="G452" s="3" t="s">
        <v>22</v>
      </c>
      <c r="H452" s="3" t="s">
        <v>2</v>
      </c>
      <c r="I452" s="3" t="s">
        <v>1886</v>
      </c>
      <c r="J452" s="3"/>
      <c r="K452" s="3" t="s">
        <v>19</v>
      </c>
      <c r="L452" s="3" t="s">
        <v>1765</v>
      </c>
      <c r="M452" s="3" t="s">
        <v>109</v>
      </c>
      <c r="N452" s="3" t="s">
        <v>1887</v>
      </c>
    </row>
    <row r="453" customFormat="false" ht="15" hidden="false" customHeight="true" outlineLevel="0" collapsed="false">
      <c r="A453" s="3" t="s">
        <v>1888</v>
      </c>
      <c r="B453" s="3" t="s">
        <v>80</v>
      </c>
      <c r="C453" s="3" t="s">
        <v>11</v>
      </c>
      <c r="D453" s="3" t="s">
        <v>1889</v>
      </c>
      <c r="E453" s="3" t="s">
        <v>1890</v>
      </c>
      <c r="F453" s="3" t="s">
        <v>1891</v>
      </c>
      <c r="G453" s="3" t="s">
        <v>22</v>
      </c>
      <c r="H453" s="3" t="s">
        <v>2</v>
      </c>
      <c r="I453" s="3" t="s">
        <v>1892</v>
      </c>
      <c r="J453" s="3"/>
      <c r="K453" s="3" t="s">
        <v>19</v>
      </c>
      <c r="L453" s="3" t="s">
        <v>1026</v>
      </c>
      <c r="M453" s="3" t="s">
        <v>109</v>
      </c>
      <c r="N453" s="3" t="s">
        <v>1893</v>
      </c>
    </row>
    <row r="454" customFormat="false" ht="15" hidden="false" customHeight="true" outlineLevel="0" collapsed="false">
      <c r="A454" s="3" t="s">
        <v>1894</v>
      </c>
      <c r="B454" s="3" t="s">
        <v>80</v>
      </c>
      <c r="C454" s="3" t="s">
        <v>12</v>
      </c>
      <c r="D454" s="3" t="s">
        <v>1775</v>
      </c>
      <c r="E454" s="3" t="s">
        <v>1895</v>
      </c>
      <c r="F454" s="3"/>
      <c r="G454" s="3" t="s">
        <v>22</v>
      </c>
      <c r="H454" s="3" t="s">
        <v>2</v>
      </c>
      <c r="I454" s="3" t="s">
        <v>1040</v>
      </c>
      <c r="J454" s="3" t="s">
        <v>98</v>
      </c>
      <c r="K454" s="3" t="s">
        <v>19</v>
      </c>
      <c r="L454" s="3" t="s">
        <v>1896</v>
      </c>
      <c r="M454" s="15" t="n">
        <v>46327</v>
      </c>
      <c r="N454" s="3"/>
    </row>
    <row r="455" customFormat="false" ht="15" hidden="false" customHeight="true" outlineLevel="0" collapsed="false">
      <c r="A455" s="3" t="s">
        <v>1897</v>
      </c>
      <c r="B455" s="3" t="s">
        <v>80</v>
      </c>
      <c r="C455" s="3" t="s">
        <v>12</v>
      </c>
      <c r="D455" s="3" t="s">
        <v>1898</v>
      </c>
      <c r="E455" s="3" t="s">
        <v>1899</v>
      </c>
      <c r="F455" s="3"/>
      <c r="G455" s="3" t="s">
        <v>22</v>
      </c>
      <c r="H455" s="3" t="s">
        <v>2</v>
      </c>
      <c r="I455" s="3" t="s">
        <v>1900</v>
      </c>
      <c r="J455" s="3" t="s">
        <v>1901</v>
      </c>
      <c r="K455" s="3" t="s">
        <v>19</v>
      </c>
      <c r="L455" s="3" t="s">
        <v>1902</v>
      </c>
      <c r="M455" s="15" t="n">
        <v>46327</v>
      </c>
      <c r="N455" s="3"/>
    </row>
    <row r="456" customFormat="false" ht="15" hidden="false" customHeight="true" outlineLevel="0" collapsed="false">
      <c r="A456" s="3" t="s">
        <v>1903</v>
      </c>
      <c r="B456" s="3" t="s">
        <v>80</v>
      </c>
      <c r="C456" s="3" t="s">
        <v>12</v>
      </c>
      <c r="D456" s="3" t="s">
        <v>1904</v>
      </c>
      <c r="E456" s="3" t="s">
        <v>1905</v>
      </c>
      <c r="F456" s="3"/>
      <c r="G456" s="3" t="s">
        <v>22</v>
      </c>
      <c r="H456" s="3" t="s">
        <v>2</v>
      </c>
      <c r="I456" s="3" t="s">
        <v>1906</v>
      </c>
      <c r="J456" s="3" t="s">
        <v>98</v>
      </c>
      <c r="K456" s="3" t="s">
        <v>19</v>
      </c>
      <c r="L456" s="3" t="s">
        <v>1907</v>
      </c>
      <c r="M456" s="15" t="n">
        <v>46327</v>
      </c>
      <c r="N456" s="3"/>
    </row>
    <row r="457" customFormat="false" ht="15" hidden="false" customHeight="true" outlineLevel="0" collapsed="false">
      <c r="A457" s="3" t="s">
        <v>1908</v>
      </c>
      <c r="B457" s="3" t="s">
        <v>80</v>
      </c>
      <c r="C457" s="3" t="s">
        <v>12</v>
      </c>
      <c r="D457" s="3" t="s">
        <v>1909</v>
      </c>
      <c r="E457" s="3" t="s">
        <v>1910</v>
      </c>
      <c r="F457" s="3"/>
      <c r="G457" s="3" t="s">
        <v>22</v>
      </c>
      <c r="H457" s="3" t="s">
        <v>2</v>
      </c>
      <c r="I457" s="3" t="s">
        <v>1911</v>
      </c>
      <c r="J457" s="3" t="s">
        <v>1912</v>
      </c>
      <c r="K457" s="3" t="s">
        <v>19</v>
      </c>
      <c r="L457" s="3" t="s">
        <v>1913</v>
      </c>
      <c r="M457" s="15" t="n">
        <v>46327</v>
      </c>
      <c r="N457" s="3"/>
    </row>
    <row r="458" customFormat="false" ht="15" hidden="false" customHeight="true" outlineLevel="0" collapsed="false">
      <c r="A458" s="3" t="s">
        <v>1914</v>
      </c>
      <c r="B458" s="3" t="s">
        <v>80</v>
      </c>
      <c r="C458" s="3" t="s">
        <v>12</v>
      </c>
      <c r="D458" s="3" t="s">
        <v>1915</v>
      </c>
      <c r="E458" s="3" t="s">
        <v>1916</v>
      </c>
      <c r="F458" s="3"/>
      <c r="G458" s="3" t="s">
        <v>22</v>
      </c>
      <c r="H458" s="3" t="s">
        <v>2</v>
      </c>
      <c r="I458" s="3" t="s">
        <v>1917</v>
      </c>
      <c r="J458" s="3" t="s">
        <v>1918</v>
      </c>
      <c r="K458" s="3" t="s">
        <v>19</v>
      </c>
      <c r="L458" s="3" t="s">
        <v>1919</v>
      </c>
      <c r="M458" s="15" t="n">
        <v>46327</v>
      </c>
      <c r="N458" s="3"/>
    </row>
    <row r="459" customFormat="false" ht="15" hidden="false" customHeight="true" outlineLevel="0" collapsed="false">
      <c r="A459" s="3" t="s">
        <v>1920</v>
      </c>
      <c r="B459" s="3" t="s">
        <v>80</v>
      </c>
      <c r="C459" s="3" t="s">
        <v>12</v>
      </c>
      <c r="D459" s="3" t="s">
        <v>1921</v>
      </c>
      <c r="E459" s="3" t="s">
        <v>1922</v>
      </c>
      <c r="F459" s="3"/>
      <c r="G459" s="3" t="s">
        <v>22</v>
      </c>
      <c r="H459" s="3" t="s">
        <v>2</v>
      </c>
      <c r="I459" s="3" t="s">
        <v>1923</v>
      </c>
      <c r="J459" s="3" t="s">
        <v>1924</v>
      </c>
      <c r="K459" s="3" t="s">
        <v>19</v>
      </c>
      <c r="L459" s="3" t="s">
        <v>1925</v>
      </c>
      <c r="M459" s="15" t="n">
        <v>46327</v>
      </c>
      <c r="N459" s="3"/>
    </row>
    <row r="460" customFormat="false" ht="15" hidden="false" customHeight="true" outlineLevel="0" collapsed="false">
      <c r="A460" s="3" t="s">
        <v>1926</v>
      </c>
      <c r="B460" s="3" t="s">
        <v>80</v>
      </c>
      <c r="C460" s="3" t="s">
        <v>12</v>
      </c>
      <c r="D460" s="3" t="s">
        <v>1927</v>
      </c>
      <c r="E460" s="3" t="s">
        <v>1928</v>
      </c>
      <c r="F460" s="3"/>
      <c r="G460" s="3" t="s">
        <v>22</v>
      </c>
      <c r="H460" s="3" t="s">
        <v>2</v>
      </c>
      <c r="I460" s="3" t="s">
        <v>1929</v>
      </c>
      <c r="J460" s="3" t="s">
        <v>1930</v>
      </c>
      <c r="K460" s="3" t="s">
        <v>19</v>
      </c>
      <c r="L460" s="3" t="s">
        <v>1931</v>
      </c>
      <c r="M460" s="15" t="n">
        <v>46327</v>
      </c>
      <c r="N460" s="3"/>
    </row>
    <row r="461" customFormat="false" ht="15" hidden="false" customHeight="true" outlineLevel="0" collapsed="false">
      <c r="A461" s="3" t="s">
        <v>1932</v>
      </c>
      <c r="B461" s="3" t="s">
        <v>80</v>
      </c>
      <c r="C461" s="3" t="s">
        <v>11</v>
      </c>
      <c r="D461" s="3" t="s">
        <v>1933</v>
      </c>
      <c r="E461" s="3" t="s">
        <v>1934</v>
      </c>
      <c r="F461" s="3"/>
      <c r="G461" s="3" t="s">
        <v>22</v>
      </c>
      <c r="H461" s="3" t="s">
        <v>2</v>
      </c>
      <c r="I461" s="3" t="s">
        <v>1935</v>
      </c>
      <c r="J461" s="3" t="s">
        <v>1936</v>
      </c>
      <c r="K461" s="3" t="s">
        <v>19</v>
      </c>
      <c r="L461" s="3" t="s">
        <v>1937</v>
      </c>
      <c r="M461" s="15" t="n">
        <v>46328</v>
      </c>
      <c r="N461" s="3"/>
    </row>
    <row r="462" customFormat="false" ht="15" hidden="false" customHeight="true" outlineLevel="0" collapsed="false">
      <c r="A462" s="3" t="s">
        <v>1938</v>
      </c>
      <c r="B462" s="3" t="s">
        <v>80</v>
      </c>
      <c r="C462" s="3" t="s">
        <v>10</v>
      </c>
      <c r="D462" s="3" t="s">
        <v>1939</v>
      </c>
      <c r="E462" s="3" t="s">
        <v>1940</v>
      </c>
      <c r="F462" s="3" t="s">
        <v>1941</v>
      </c>
      <c r="G462" s="3" t="s">
        <v>22</v>
      </c>
      <c r="H462" s="3" t="s">
        <v>2</v>
      </c>
      <c r="I462" s="3" t="s">
        <v>1942</v>
      </c>
      <c r="J462" s="3"/>
      <c r="K462" s="3" t="s">
        <v>18</v>
      </c>
      <c r="L462" s="3" t="s">
        <v>1943</v>
      </c>
      <c r="M462" s="3" t="s">
        <v>92</v>
      </c>
      <c r="N462" s="3" t="s">
        <v>1944</v>
      </c>
    </row>
    <row r="463" customFormat="false" ht="15" hidden="false" customHeight="true" outlineLevel="0" collapsed="false">
      <c r="A463" s="3" t="s">
        <v>1945</v>
      </c>
      <c r="B463" s="3" t="s">
        <v>80</v>
      </c>
      <c r="C463" s="3" t="s">
        <v>10</v>
      </c>
      <c r="D463" s="3" t="s">
        <v>1946</v>
      </c>
      <c r="E463" s="3" t="s">
        <v>1947</v>
      </c>
      <c r="F463" s="3" t="s">
        <v>1948</v>
      </c>
      <c r="G463" s="3" t="s">
        <v>22</v>
      </c>
      <c r="H463" s="3" t="s">
        <v>3</v>
      </c>
      <c r="I463" s="3" t="s">
        <v>1949</v>
      </c>
      <c r="J463" s="3" t="s">
        <v>1950</v>
      </c>
      <c r="K463" s="3" t="s">
        <v>19</v>
      </c>
      <c r="L463" s="3" t="s">
        <v>1951</v>
      </c>
      <c r="M463" s="3" t="s">
        <v>92</v>
      </c>
      <c r="N463" s="3" t="s">
        <v>1952</v>
      </c>
    </row>
    <row r="464" customFormat="false" ht="15" hidden="false" customHeight="true" outlineLevel="0" collapsed="false">
      <c r="A464" s="3" t="s">
        <v>1953</v>
      </c>
      <c r="B464" s="3" t="s">
        <v>80</v>
      </c>
      <c r="C464" s="3" t="s">
        <v>12</v>
      </c>
      <c r="D464" s="3" t="s">
        <v>1954</v>
      </c>
      <c r="E464" s="3" t="s">
        <v>1955</v>
      </c>
      <c r="F464" s="3"/>
      <c r="G464" s="3" t="s">
        <v>22</v>
      </c>
      <c r="H464" s="3" t="s">
        <v>2</v>
      </c>
      <c r="I464" s="3" t="s">
        <v>1956</v>
      </c>
      <c r="J464" s="3" t="s">
        <v>1957</v>
      </c>
      <c r="K464" s="3" t="s">
        <v>19</v>
      </c>
      <c r="L464" s="3" t="s">
        <v>1958</v>
      </c>
      <c r="M464" s="15" t="n">
        <v>46327</v>
      </c>
      <c r="N464" s="3"/>
    </row>
    <row r="465" customFormat="false" ht="15" hidden="false" customHeight="true" outlineLevel="0" collapsed="false">
      <c r="A465" s="3" t="s">
        <v>1959</v>
      </c>
      <c r="B465" s="3" t="s">
        <v>80</v>
      </c>
      <c r="C465" s="3" t="s">
        <v>14</v>
      </c>
      <c r="D465" s="3" t="s">
        <v>1960</v>
      </c>
      <c r="E465" s="3" t="s">
        <v>1961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1962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2026-11-01T18:59:29Z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